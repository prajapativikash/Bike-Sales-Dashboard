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OneDrive\Desktop\DataAnalyticsProject\"/>
    </mc:Choice>
  </mc:AlternateContent>
  <bookViews>
    <workbookView xWindow="0" yWindow="0" windowWidth="23040" windowHeight="8964"/>
  </bookViews>
  <sheets>
    <sheet name="bike_buyers" sheetId="1" r:id="rId1"/>
    <sheet name="working sheet" sheetId="2" r:id="rId2"/>
    <sheet name="Pivote table "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us">#N/A</definedName>
    <definedName name="Slicer_Region">#N/A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5" i="2" l="1"/>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4" i="2"/>
  <c r="M3" i="2"/>
  <c r="M2" i="2"/>
  <c r="U3" i="3"/>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<sst xmlns="http://schemas.openxmlformats.org/spreadsheetml/2006/main" count="16267" uniqueCount="52">
  <si>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</si>
  <si>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</si>
  <si>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</si>
  <si>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</si>
  <si>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</si>
  <si>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</si>
  <si>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</si>
  <si>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</si>
  <si>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</si>
  <si>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</si>
  <si>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</si>
  <si>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</si>
  <si>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</si>
  <si>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</si>
  <si>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</si>
  <si>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</si>
  <si>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</si>
  <si>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</si>
  <si>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</si>
  <si>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</si>
  <si>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</si>
  <si>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</si>
  <si>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</si>
  <si>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</si>
  <si>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</si>
  <si>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</si>
  <si>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</si>
  <si>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</si>
  <si>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</si>
  <si>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</si>
  <si>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</si>
  <si>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</si>
  <si>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</si>
  <si>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</si>
  <si>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</si>
  <si>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</si>
  <si>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Marriied</t>
  </si>
  <si>
    <t>Single</t>
  </si>
  <si>
    <t>Female</t>
  </si>
  <si>
    <t>Male</t>
  </si>
  <si>
    <t>Age Brackets</t>
  </si>
  <si>
    <t xml:space="preserve">Marital Staus </t>
  </si>
  <si>
    <t>Row Labels</t>
  </si>
  <si>
    <t>Grand Total</t>
  </si>
  <si>
    <t>Average of Income</t>
  </si>
  <si>
    <t>Count of Purchased Bike</t>
  </si>
  <si>
    <t>Column Labels</t>
  </si>
  <si>
    <t>More than 10 miles</t>
  </si>
  <si>
    <t>Adolscent</t>
  </si>
  <si>
    <t>Middle Age</t>
  </si>
  <si>
    <t xml:space="preserve">Bike Sales Dashboard </t>
  </si>
  <si>
    <t>Old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</si>
</sst>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theme="9"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33" borderId="0" xfId="0" applyFill="1"/>
    <xf numFmtId="0" fontId="19" fillId="34" borderId="0" xfId="0" applyFont="1"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s>
  <tableStyles count="0" defaultTableStyle="TableStyleMedium2" defaultPivotStyle="PivotStyleLight16"/>
  <colors>
    <mruColors>
      <color rgb="FF8A97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[BIkeSales.xlsx]Pivote table !PivotTable1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 Income Per Purchase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'Pivote table '!$B$1:$B$2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'Pivote table '!$A$3:$A$5</c:f>
              <c:strCache>
                <c:ptCount val="2"/>
                <c:pt idx="0">
                  <c:v>Female</c:v>
                </c:pt>
                <c:pt idx="1">
                  <c:v>Male</c:v>
                </c:pt>
              </c:strCache>
            </c:strRef>
          </c:cat>
          <c:val>
            <c:numRef>
              <c:f>'Pivote table '!$B$3:$B$5</c:f>
              <c:numCache>
                <c:formatCode>_ * #,##0_ ;_ * \-#,##0_ ;_ * "-"??_ ;_ @_ </c:formatCode>
                <c:ptCount val="2"/>
                <c:pt idx="0">
                  <c:v>53440</c:v>
                </c:pt>
                <c:pt idx="1">
                  <c:v>56208.178438661707</c:v>
                </c:pt>
              </c:numCache>
            </c:numRef>
          </c:val>
        </c:ser>
        <c:ser>
          <c:idx val="1"/>
          <c:order val="1"/>
          <c:tx>
            <c:strRef>
              <c:f>'Pivote table '!$C$1:$C$2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'Pivote table '!$A$3:$A$5</c:f>
              <c:strCache>
                <c:ptCount val="2"/>
                <c:pt idx="0">
                  <c:v>Female</c:v>
                </c:pt>
                <c:pt idx="1">
                  <c:v>Male</c:v>
                </c:pt>
              </c:strCache>
            </c:strRef>
          </c:cat>
          <c:val>
            <c:numRef>
              <c:f>'Pivote table '!$C$3:$C$5</c:f>
              <c:numCache>
                <c:formatCode>_ * #,##0_ ;_ * \-#,##0_ ;_ * "-"??_ ;_ @_ </c:formatCode>
                <c:ptCount val="2"/>
                <c:pt idx="0">
                  <c:v>55774.058577405856</c:v>
                </c:pt>
                <c:pt idx="1">
                  <c:v>60123.966942148763</c:v>
                </c:pt>
              </c:numCache>
            </c:numRef>
          </c:val>
        </c:ser>
        <c:dLbls>
          <c:dLblPos val="outEnd"/>
          <c:showLegendKey val="0"/>
          <c:showVal val="1"/>
          <c:showCatName val="0"/>
          <c:showSerName val="0"/>
          <c:showPercent val="0"/>
          <c:showBubbleSize val="0"/>
        </c:dLbls>
        <c:gapWidth val="100"/>
        <c:overlap val="-24"/>
        <c:axId val="-1902773904"/>
        <c:axId val="-1902776624"/>
      </c:barChart>
      <c:catAx>
        <c:axId val="-190277390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76624"/>
        <c:crosses val="autoZero"/>
        <c:auto val="1"/>
        <c:lblAlgn val="ctr"/>
        <c:lblOffset val="100"/>
        <c:noMultiLvlLbl val="0"/>
      </c:catAx>
      <c:valAx>
        <c:axId val="-1902776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739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[BIkeSales.xlsx]Pivote table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 </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0.16535870516185477"/>
          <c:y val="0.2572178477690289"/>
          <c:w val="0.69269685039370077"/>
          <c:h val="0.6076742490522018"/>
        </c:manualLayout>
      </c:layout>
      <c:lineChart>
        <c:grouping val="standard"/>
        <c:varyColors val="0"/>
        <c:ser>
          <c:idx val="0"/>
          <c:order val="0"/>
          <c:tx>
            <c:strRef>
              <c:f>'Pivote table '!$B$18:$B$19</c:f>
              <c:strCache>
                <c:ptCount val="1"/>
                <c:pt idx="0">
                  <c:v>No</c:v>
                </c:pt>
              </c:strCache>
            </c:strRef>
          </c:tx>
          <c:spPr>
            <a:ln w="28575" cap="rnd">
              <a:solidFill>
                <a:schemeClr val="accent1"/>
              </a:solidFill>
              <a:round/>
            </a:ln>
            <a:effectLst/>
          </c:spPr>
          <c:marker>
            <c:symbol val="none"/>
          </c:marker>
          <c:cat>
            <c:strRef>
              <c:f>'Pivote table '!$A$20:$A$25</c:f>
              <c:strCache>
                <c:ptCount val="5"/>
                <c:pt idx="0">
                  <c:v>0-1 Miles</c:v>
                </c:pt>
                <c:pt idx="1">
                  <c:v>1-2 Miles</c:v>
                </c:pt>
                <c:pt idx="2">
                  <c:v>2-5 Miles</c:v>
                </c:pt>
                <c:pt idx="3">
                  <c:v>5-10 Miles</c:v>
                </c:pt>
                <c:pt idx="4">
                  <c:v>More than 10 miles</c:v>
                </c:pt>
              </c:strCache>
            </c:strRef>
          </c:cat>
          <c:val>
            <c:numRef>
              <c:f>'Pivote table '!$B$20:$B$25</c:f>
              <c:numCache>
                <c:formatCode>General</c:formatCode>
                <c:ptCount val="5"/>
                <c:pt idx="0">
                  <c:v>166</c:v>
                </c:pt>
                <c:pt idx="1">
                  <c:v>92</c:v>
                </c:pt>
                <c:pt idx="2">
                  <c:v>67</c:v>
                </c:pt>
                <c:pt idx="3">
                  <c:v>116</c:v>
                </c:pt>
                <c:pt idx="4">
                  <c:v>78</c:v>
                </c:pt>
              </c:numCache>
            </c:numRef>
          </c:val>
          <c:smooth val="0"/>
        </c:ser>
        <c:ser>
          <c:idx val="1"/>
          <c:order val="1"/>
          <c:tx>
            <c:strRef>
              <c:f>'Pivote table '!$C$18:$C$19</c:f>
              <c:strCache>
                <c:ptCount val="1"/>
                <c:pt idx="0">
                  <c:v>Yes</c:v>
                </c:pt>
              </c:strCache>
            </c:strRef>
          </c:tx>
          <c:spPr>
            <a:ln w="28575" cap="rnd">
              <a:solidFill>
                <a:schemeClr val="accent2"/>
              </a:solidFill>
              <a:round/>
            </a:ln>
            <a:effectLst/>
          </c:spPr>
          <c:marker>
            <c:symbol val="none"/>
          </c:marker>
          <c:cat>
            <c:strRef>
              <c:f>'Pivote table '!$A$20:$A$25</c:f>
              <c:strCache>
                <c:ptCount val="5"/>
                <c:pt idx="0">
                  <c:v>0-1 Miles</c:v>
                </c:pt>
                <c:pt idx="1">
                  <c:v>1-2 Miles</c:v>
                </c:pt>
                <c:pt idx="2">
                  <c:v>2-5 Miles</c:v>
                </c:pt>
                <c:pt idx="3">
                  <c:v>5-10 Miles</c:v>
                </c:pt>
                <c:pt idx="4">
                  <c:v>More than 10 miles</c:v>
                </c:pt>
              </c:strCache>
            </c:strRef>
          </c:cat>
          <c:val>
            <c:numRef>
              <c:f>'Pivote table '!$C$20:$C$25</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1902771184"/>
        <c:axId val="-1902770640"/>
      </c:lineChart>
      <c:catAx>
        <c:axId val="-1902771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 </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70640"/>
        <c:crosses val="autoZero"/>
        <c:auto val="1"/>
        <c:lblAlgn val="ctr"/>
        <c:lblOffset val="100"/>
        <c:noMultiLvlLbl val="0"/>
      </c:catAx>
      <c:valAx>
        <c:axId val="-190277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71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[BIkeSales.xlsx]Pivote table !PivotTable3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 </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'Pivote table '!$B$36:$B$37</c:f>
              <c:strCache>
                <c:ptCount val="1"/>
                <c:pt idx="0">
                  <c:v>No</c:v>
                </c:pt>
              </c:strCache>
            </c:strRef>
          </c:tx>
          <c:spPr>
            <a:ln w="28575" cap="rnd">
              <a:solidFill>
                <a:schemeClr val="accent1"/>
              </a:solidFill>
              <a:round/>
            </a:ln>
            <a:effectLst/>
          </c:spPr>
          <c:marker>
            <c:symbol val="none"/>
          </c:marker>
          <c:cat>
            <c:strRef>
              <c:f>'Pivote table '!$A$38:$A$41</c:f>
              <c:strCache>
                <c:ptCount val="3"/>
                <c:pt idx="0">
                  <c:v>Adolscent</c:v>
                </c:pt>
                <c:pt idx="1">
                  <c:v>Middle Age</c:v>
                </c:pt>
                <c:pt idx="2">
                  <c:v>Old</c:v>
                </c:pt>
              </c:strCache>
            </c:strRef>
          </c:cat>
          <c:val>
            <c:numRef>
              <c:f>'Pivote table '!$B$38:$B$41</c:f>
              <c:numCache>
                <c:formatCode>General</c:formatCode>
                <c:ptCount val="3"/>
                <c:pt idx="0">
                  <c:v>71</c:v>
                </c:pt>
                <c:pt idx="1">
                  <c:v>318</c:v>
                </c:pt>
                <c:pt idx="2">
                  <c:v>130</c:v>
                </c:pt>
              </c:numCache>
            </c:numRef>
          </c:val>
          <c:smooth val="0"/>
        </c:ser>
        <c:ser>
          <c:idx val="1"/>
          <c:order val="1"/>
          <c:tx>
            <c:strRef>
              <c:f>'Pivote table '!$C$36:$C$37</c:f>
              <c:strCache>
                <c:ptCount val="1"/>
                <c:pt idx="0">
                  <c:v>Yes</c:v>
                </c:pt>
              </c:strCache>
            </c:strRef>
          </c:tx>
          <c:spPr>
            <a:ln w="28575" cap="rnd">
              <a:solidFill>
                <a:schemeClr val="accent2"/>
              </a:solidFill>
              <a:round/>
            </a:ln>
            <a:effectLst/>
          </c:spPr>
          <c:marker>
            <c:symbol val="none"/>
          </c:marker>
          <c:cat>
            <c:strRef>
              <c:f>'Pivote table '!$A$38:$A$41</c:f>
              <c:strCache>
                <c:ptCount val="3"/>
                <c:pt idx="0">
                  <c:v>Adolscent</c:v>
                </c:pt>
                <c:pt idx="1">
                  <c:v>Middle Age</c:v>
                </c:pt>
                <c:pt idx="2">
                  <c:v>Old</c:v>
                </c:pt>
              </c:strCache>
            </c:strRef>
          </c:cat>
          <c:val>
            <c:numRef>
              <c:f>'Pivote table '!$C$38:$C$41</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smooth val="0"/>
        <c:axId val="-1789011776"/>
        <c:axId val="-1789015584"/>
      </c:lineChart>
      <c:catAx>
        <c:axId val="-1789011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015584"/>
        <c:crosses val="autoZero"/>
        <c:auto val="1"/>
        <c:lblAlgn val="ctr"/>
        <c:lblOffset val="100"/>
        <c:noMultiLvlLbl val="0"/>
      </c:catAx>
      <c:valAx>
        <c:axId val="-178901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0117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[BIkeSales.xlsx]Pivote table !PivotTable1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 Income Per Purchase</a:t>
            </a:r>
          </a:p>
        </c:rich>
      </c:tx>
      <c:layout>
        <c:manualLayout>
          <c:xMode val="edge"/>
          <c:yMode val="edge"/>
          <c:x val="0.27531553490983801"/>
          <c:y val="4.4231793089920726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23741890754221756"/>
          <c:y val="0.17206732610381001"/>
          <c:w val="0.48969499881697176"/>
          <c:h val="0.3136450247989464"/>
        </c:manualLayout>
      </c:layout>
      <c:barChart>
        <c:barDir val="col"/>
        <c:grouping val="clustered"/>
        <c:varyColors val="0"/>
        <c:ser>
          <c:idx val="0"/>
          <c:order val="0"/>
          <c:tx>
            <c:strRef>
              <c:f>'Pivote table '!$B$1:$B$2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 table '!$A$3:$A$5</c:f>
              <c:strCache>
                <c:ptCount val="2"/>
                <c:pt idx="0">
                  <c:v>Female</c:v>
                </c:pt>
                <c:pt idx="1">
                  <c:v>Male</c:v>
                </c:pt>
              </c:strCache>
            </c:strRef>
          </c:cat>
          <c:val>
            <c:numRef>
              <c:f>'Pivote table '!$B$3:$B$5</c:f>
              <c:numCache>
                <c:formatCode>_ * #,##0_ ;_ * \-#,##0_ ;_ * "-"??_ ;_ @_ </c:formatCode>
                <c:ptCount val="2"/>
                <c:pt idx="0">
                  <c:v>53440</c:v>
                </c:pt>
                <c:pt idx="1">
                  <c:v>56208.178438661707</c:v>
                </c:pt>
              </c:numCache>
            </c:numRef>
          </c:val>
        </c:ser>
        <c:ser>
          <c:idx val="1"/>
          <c:order val="1"/>
          <c:tx>
            <c:strRef>
              <c:f>'Pivote table '!$C$1:$C$2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 table '!$A$3:$A$5</c:f>
              <c:strCache>
                <c:ptCount val="2"/>
                <c:pt idx="0">
                  <c:v>Female</c:v>
                </c:pt>
                <c:pt idx="1">
                  <c:v>Male</c:v>
                </c:pt>
              </c:strCache>
            </c:strRef>
          </c:cat>
          <c:val>
            <c:numRef>
              <c:f>'Pivote table '!$C$3:$C$5</c:f>
              <c:numCache>
                <c:formatCode>_ * #,##0_ ;_ * \-#,##0_ ;_ * "-"??_ ;_ @_ </c:formatCode>
                <c:ptCount val="2"/>
                <c:pt idx="0">
                  <c:v>55774.058577405856</c:v>
                </c:pt>
                <c:pt idx="1">
                  <c:v>60123.966942148763</c:v>
                </c:pt>
              </c:numCache>
            </c:numRef>
          </c:val>
        </c:ser>
        <c:dLbls>
          <c:showLegendKey val="0"/>
          <c:showVal val="0"/>
          <c:showCatName val="0"/>
          <c:showSerName val="0"/>
          <c:showPercent val="0"/>
          <c:showBubbleSize val="0"/>
        </c:dLbls>
        <c:gapWidth val="100"/>
        <c:overlap val="-24"/>
        <c:axId val="-1789001984"/>
        <c:axId val="-1789012864"/>
      </c:barChart>
      <c:catAx>
        <c:axId val="-178900198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Gender</a:t>
                </a:r>
              </a:p>
            </c:rich>
          </c:tx>
          <c:layout>
            <c:manualLayout>
              <c:xMode val="edge"/>
              <c:yMode val="edge"/>
              <c:x val="0.35189045613902581"/>
              <c:y val="0.7693659979781679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012864"/>
        <c:crosses val="autoZero"/>
        <c:auto val="1"/>
        <c:lblAlgn val="ctr"/>
        <c:lblOffset val="100"/>
        <c:noMultiLvlLbl val="0"/>
      </c:catAx>
      <c:valAx>
        <c:axId val="-1789012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sz="1200"/>
                  <a:t>Income</a:t>
                </a:r>
              </a:p>
            </c:rich>
          </c:tx>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89001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[BIkeSales.xlsx]Pivote table !PivotTable2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 </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marker>
          <c:symbol val="none"/>
        </c:marker>
      </c:pivotFmt>
      <c:pivotFmt>
        <c:idx val="5"/>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manualLayout>
          <c:layoutTarget val="inner"/>
          <c:xMode val="edge"/>
          <c:yMode val="edge"/>
          <c:x val="0.16535870516185477"/>
          <c:y val="0.2572178477690289"/>
          <c:w val="0.67778630056928768"/>
          <c:h val="0.48939463212259759"/>
        </c:manualLayout>
      </c:layout>
      <c:lineChart>
        <c:grouping val="standard"/>
        <c:varyColors val="0"/>
        <c:ser>
          <c:idx val="0"/>
          <c:order val="0"/>
          <c:tx>
            <c:strRef>
              <c:f>'Pivote table '!$B$18:$B$19</c:f>
              <c:strCache>
                <c:ptCount val="1"/>
                <c:pt idx="0">
                  <c:v>No</c:v>
                </c:pt>
              </c:strCache>
            </c:strRef>
          </c:tx>
          <c:spPr>
            <a:ln w="28575" cap="rnd">
              <a:solidFill>
                <a:schemeClr val="accent1"/>
              </a:solidFill>
              <a:round/>
            </a:ln>
            <a:effectLst/>
          </c:spPr>
          <c:marker>
            <c:symbol val="none"/>
          </c:marker>
          <c:cat>
            <c:strRef>
              <c:f>'Pivote table '!$A$20:$A$25</c:f>
              <c:strCache>
                <c:ptCount val="5"/>
                <c:pt idx="0">
                  <c:v>0-1 Miles</c:v>
                </c:pt>
                <c:pt idx="1">
                  <c:v>1-2 Miles</c:v>
                </c:pt>
                <c:pt idx="2">
                  <c:v>2-5 Miles</c:v>
                </c:pt>
                <c:pt idx="3">
                  <c:v>5-10 Miles</c:v>
                </c:pt>
                <c:pt idx="4">
                  <c:v>More than 10 miles</c:v>
                </c:pt>
              </c:strCache>
            </c:strRef>
          </c:cat>
          <c:val>
            <c:numRef>
              <c:f>'Pivote table '!$B$20:$B$25</c:f>
              <c:numCache>
                <c:formatCode>General</c:formatCode>
                <c:ptCount val="5"/>
                <c:pt idx="0">
                  <c:v>166</c:v>
                </c:pt>
                <c:pt idx="1">
                  <c:v>92</c:v>
                </c:pt>
                <c:pt idx="2">
                  <c:v>67</c:v>
                </c:pt>
                <c:pt idx="3">
                  <c:v>116</c:v>
                </c:pt>
                <c:pt idx="4">
                  <c:v>78</c:v>
                </c:pt>
              </c:numCache>
            </c:numRef>
          </c:val>
          <c:smooth val="0"/>
        </c:ser>
        <c:ser>
          <c:idx val="1"/>
          <c:order val="1"/>
          <c:tx>
            <c:strRef>
              <c:f>'Pivote table '!$C$18:$C$19</c:f>
              <c:strCache>
                <c:ptCount val="1"/>
                <c:pt idx="0">
                  <c:v>Yes</c:v>
                </c:pt>
              </c:strCache>
            </c:strRef>
          </c:tx>
          <c:spPr>
            <a:ln w="28575" cap="rnd">
              <a:solidFill>
                <a:schemeClr val="accent2"/>
              </a:solidFill>
              <a:round/>
            </a:ln>
            <a:effectLst/>
          </c:spPr>
          <c:marker>
            <c:symbol val="none"/>
          </c:marker>
          <c:cat>
            <c:strRef>
              <c:f>'Pivote table '!$A$20:$A$25</c:f>
              <c:strCache>
                <c:ptCount val="5"/>
                <c:pt idx="0">
                  <c:v>0-1 Miles</c:v>
                </c:pt>
                <c:pt idx="1">
                  <c:v>1-2 Miles</c:v>
                </c:pt>
                <c:pt idx="2">
                  <c:v>2-5 Miles</c:v>
                </c:pt>
                <c:pt idx="3">
                  <c:v>5-10 Miles</c:v>
                </c:pt>
                <c:pt idx="4">
                  <c:v>More than 10 miles</c:v>
                </c:pt>
              </c:strCache>
            </c:strRef>
          </c:cat>
          <c:val>
            <c:numRef>
              <c:f>'Pivote table '!$C$20:$C$25</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1789011232"/>
        <c:axId val="-1789003616"/>
      </c:lineChart>
      <c:catAx>
        <c:axId val="-178901123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Commute</a:t>
                </a:r>
                <a:r>
                  <a:rPr lang="en-IN" sz="1200" b="1" baseline="0"/>
                  <a:t> Distance </a:t>
                </a:r>
                <a:endParaRPr lang="en-IN" sz="1200" b="1"/>
              </a:p>
            </c:rich>
          </c:tx>
          <c:layout>
            <c:manualLayout>
              <c:xMode val="edge"/>
              <c:yMode val="edge"/>
              <c:x val="0.41530228080336878"/>
              <c:y val="0.8767106934213867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003616"/>
        <c:crosses val="autoZero"/>
        <c:auto val="1"/>
        <c:lblAlgn val="ctr"/>
        <c:lblOffset val="100"/>
        <c:noMultiLvlLbl val="0"/>
      </c:catAx>
      <c:valAx>
        <c:axId val="-178900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011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[BIkeSales.xlsx]Pivote table !PivotTable3</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customer</a:t>
            </a:r>
            <a:r>
              <a:rPr lang="en-IN" sz="1600" b="1" baseline="0"/>
              <a:t> Age Brackets </a:t>
            </a:r>
            <a:endParaRPr lang="en-IN" sz="1600" b="1"/>
          </a:p>
        </c:rich>
      </c:tx>
      <c:layout>
        <c:manualLayout>
          <c:xMode val="edge"/>
          <c:yMode val="edge"/>
          <c:x val="0.30879410215903108"/>
          <c:y val="5.821147356580427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0.15636239914455138"/>
          <c:y val="0.28882699502987652"/>
          <c:w val="0.52689377369495483"/>
          <c:h val="0.33184183094134512"/>
        </c:manualLayout>
      </c:layout>
      <c:lineChart>
        <c:grouping val="standard"/>
        <c:varyColors val="0"/>
        <c:ser>
          <c:idx val="0"/>
          <c:order val="0"/>
          <c:tx>
            <c:strRef>
              <c:f>'Pivote table '!$B$36:$B$37</c:f>
              <c:strCache>
                <c:ptCount val="1"/>
                <c:pt idx="0">
                  <c:v>No</c:v>
                </c:pt>
              </c:strCache>
            </c:strRef>
          </c:tx>
          <c:spPr>
            <a:ln w="28575" cap="rnd">
              <a:solidFill>
                <a:schemeClr val="accent1"/>
              </a:solidFill>
              <a:round/>
            </a:ln>
            <a:effectLst/>
          </c:spPr>
          <c:marker>
            <c:symbol val="none"/>
          </c:marker>
          <c:cat>
            <c:strRef>
              <c:f>'Pivote table '!$A$38:$A$41</c:f>
              <c:strCache>
                <c:ptCount val="3"/>
                <c:pt idx="0">
                  <c:v>Adolscent</c:v>
                </c:pt>
                <c:pt idx="1">
                  <c:v>Middle Age</c:v>
                </c:pt>
                <c:pt idx="2">
                  <c:v>Old</c:v>
                </c:pt>
              </c:strCache>
            </c:strRef>
          </c:cat>
          <c:val>
            <c:numRef>
              <c:f>'Pivote table '!$B$38:$B$41</c:f>
              <c:numCache>
                <c:formatCode>General</c:formatCode>
                <c:ptCount val="3"/>
                <c:pt idx="0">
                  <c:v>71</c:v>
                </c:pt>
                <c:pt idx="1">
                  <c:v>318</c:v>
                </c:pt>
                <c:pt idx="2">
                  <c:v>130</c:v>
                </c:pt>
              </c:numCache>
            </c:numRef>
          </c:val>
          <c:smooth val="0"/>
        </c:ser>
        <c:ser>
          <c:idx val="1"/>
          <c:order val="1"/>
          <c:tx>
            <c:strRef>
              <c:f>'Pivote table '!$C$36:$C$37</c:f>
              <c:strCache>
                <c:ptCount val="1"/>
                <c:pt idx="0">
                  <c:v>Yes</c:v>
                </c:pt>
              </c:strCache>
            </c:strRef>
          </c:tx>
          <c:spPr>
            <a:ln w="28575" cap="rnd">
              <a:solidFill>
                <a:schemeClr val="accent2"/>
              </a:solidFill>
              <a:round/>
            </a:ln>
            <a:effectLst/>
          </c:spPr>
          <c:marker>
            <c:symbol val="none"/>
          </c:marker>
          <c:cat>
            <c:strRef>
              <c:f>'Pivote table '!$A$38:$A$41</c:f>
              <c:strCache>
                <c:ptCount val="3"/>
                <c:pt idx="0">
                  <c:v>Adolscent</c:v>
                </c:pt>
                <c:pt idx="1">
                  <c:v>Middle Age</c:v>
                </c:pt>
                <c:pt idx="2">
                  <c:v>Old</c:v>
                </c:pt>
              </c:strCache>
            </c:strRef>
          </c:cat>
          <c:val>
            <c:numRef>
              <c:f>'Pivote table '!$C$38:$C$41</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smooth val="0"/>
        <c:axId val="-1789004704"/>
        <c:axId val="-1789000896"/>
      </c:lineChart>
      <c:catAx>
        <c:axId val="-178900470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Age</a:t>
                </a:r>
                <a:r>
                  <a:rPr lang="en-IN" sz="1200" b="1" baseline="0"/>
                  <a:t> Brackets</a:t>
                </a:r>
                <a:endParaRPr lang="en-IN" sz="1200" b="1"/>
              </a:p>
            </c:rich>
          </c:tx>
          <c:layout>
            <c:manualLayout>
              <c:xMode val="edge"/>
              <c:yMode val="edge"/>
              <c:x val="0.35567683778864134"/>
              <c:y val="0.76967941507311588"/>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000896"/>
        <c:crosses val="autoZero"/>
        <c:auto val="1"/>
        <c:lblAlgn val="ctr"/>
        <c:lblOffset val="100"/>
        <c:noMultiLvlLbl val="0"/>
      </c:catAx>
      <c:valAx>
        <c:axId val="-178900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004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434340</xdr:colOff>
      <xdr:row>0</xdr:row>
      <xdr:rowOff>99060</xdr:rowOff>
    </xdr:from>
    <xdr:to>
      <xdr:col>12</xdr:col>
      <xdr:colOff>129540</xdr:colOff>
      <xdr:row>14</xdr:row>
      <xdr:rowOff>30480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396240</xdr:colOff>
      <xdr:row>15</xdr:row>
      <xdr:rowOff>45720</xdr:rowOff>
    </xdr:from>
    <xdr:to>
      <xdr:col>12</xdr:col>
      <xdr:colOff>129540</xdr:colOff>
      <xdr:row>30</xdr:row>
      <xdr:rowOff>106680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91440</xdr:colOff>
      <xdr:row>31</xdr:row>
      <xdr:rowOff>99060</xdr:rowOff>
    </xdr:from>
    <xdr:to>
      <xdr:col>12</xdr:col>
      <xdr:colOff>396240</xdr:colOff>
      <xdr:row>46</xdr:row>
      <xdr:rowOff>99060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548640</xdr:colOff>
      <xdr:row>3</xdr:row>
      <xdr:rowOff>0</xdr:rowOff>
    </xdr:from>
    <xdr:to>
      <xdr:col>10</xdr:col>
      <xdr:colOff>335280</xdr:colOff>
      <xdr:row>14</xdr:row>
      <xdr:rowOff>129540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541020</xdr:colOff>
      <xdr:row>14</xdr:row>
      <xdr:rowOff>144780</xdr:rowOff>
    </xdr:from>
    <xdr:to>
      <xdr:col>18</xdr:col>
      <xdr:colOff>373380</xdr:colOff>
      <xdr:row>28</xdr:row>
      <xdr:rowOff>114300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419100</xdr:colOff>
      <xdr:row>3</xdr:row>
      <xdr:rowOff>7620</xdr:rowOff>
    </xdr:from>
    <xdr:to>
      <xdr:col>18</xdr:col>
      <xdr:colOff>365760</xdr:colOff>
      <xdr:row>14</xdr:row>
      <xdr:rowOff>129540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3</xdr:row>
      <xdr:rowOff>15241</xdr:rowOff>
    </xdr:from>
    <xdr:to>
      <xdr:col>2</xdr:col>
      <xdr:colOff>480060</xdr:colOff>
      <xdr:row>9</xdr:row>
      <xdr:rowOff>53341</xdr:rowOff>
    </xdr:to>
    <mc:AlternateContent xmlns:mc="http://schemas.openxmlformats.org/markup-compatibility/2006" xmlns:a14="http://schemas.microsoft.com/office/drawing/2010/main">
      <mc:Choice Requires="a14">
        <xdr:graphicFrame macro="">
          <xdr:nvGraphicFramePr>
            <xdr:cNvPr id="5" name="Marital Staus "/>
            <xdr:cNvGraphicFramePr/>
          </xdr:nvGraphicFramePr>
          <xdr:xfrm>
            <a:off x="0" y="0"/>
            <a:ext cx="0" cy="0"/>
          </xdr:xfrm>
          <a:graphic>
            <a:graphicData uri="http://schemas.microsoft.com/office/drawing/2010/slicer">
              <sle:slicer xmlns:sle="http://schemas.microsoft.com/office/drawing/2010/slicer" name="Marital Staus "/>
            </a:graphicData>
          </a:graphic>
        </xdr:graphicFrame>
      </mc:Choice>
      <mc:Fallback xmlns="">
        <xdr:sp macro="" textlink="">
          <xdr:nvSpPr>
            <xdr:cNvPr id="0" name=""/>
            <xdr:cNvSpPr>
              <a:spLocks noTextEdit="1"/>
            </xdr:cNvSpPr>
          </xdr:nvSpPr>
          <xdr:spPr>
            <a:xfrm>
              <a:off x="7620" y="563881"/>
              <a:ext cx="169164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9</xdr:row>
      <xdr:rowOff>99060</xdr:rowOff>
    </xdr:from>
    <xdr:to>
      <xdr:col>2</xdr:col>
      <xdr:colOff>472440</xdr:colOff>
      <xdr:row>20</xdr:row>
      <xdr:rowOff>83821</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620" y="1744980"/>
              <a:ext cx="1684020" cy="1996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20</xdr:row>
      <xdr:rowOff>106680</xdr:rowOff>
    </xdr:from>
    <xdr:to>
      <xdr:col>2</xdr:col>
      <xdr:colOff>464820</xdr:colOff>
      <xdr:row>28</xdr:row>
      <xdr:rowOff>137161</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 y="3764280"/>
              <a:ext cx="1668780" cy="1493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060.456428124999"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us " numFmtId="0">
      <sharedItems count="2">
        <s v="Marri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6:D4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9"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18:D2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7">
    <format dxfId="6">
      <pivotArea collapsedLevelsAreSubtotals="1" fieldPosition="0">
        <references count="1">
          <reference field="2" count="1">
            <x v="1"/>
          </reference>
        </references>
      </pivotArea>
    </format>
    <format dxfId="5">
      <pivotArea collapsedLevelsAreSubtotals="1" fieldPosition="0">
        <references count="2">
          <reference field="2" count="1" selected="0">
            <x v="1"/>
          </reference>
          <reference field="13" count="1">
            <x v="1"/>
          </reference>
        </references>
      </pivotArea>
    </format>
    <format dxfId="4">
      <pivotArea collapsedLevelsAreSubtotals="1" fieldPosition="0">
        <references count="2">
          <reference field="2" count="1" selected="0">
            <x v="1"/>
          </reference>
          <reference field="13" count="1">
            <x v="0"/>
          </reference>
        </references>
      </pivotArea>
    </format>
    <format dxfId="3">
      <pivotArea grandRow="1" outline="0" collapsedLevelsAreSubtotals="1" fieldPosition="0"/>
    </format>
    <format dxfId="2">
      <pivotArea collapsedLevelsAreSubtotals="1" fieldPosition="0">
        <references count="2">
          <reference field="2" count="1" selected="0">
            <x v="0"/>
          </reference>
          <reference field="13" count="1">
            <x v="1"/>
          </reference>
        </references>
      </pivotArea>
    </format>
    <format dxfId="1">
      <pivotArea collapsedLevelsAreSubtotals="1" fieldPosition="0">
        <references count="2">
          <reference field="2" count="1" selected="0">
            <x v="0"/>
          </reference>
          <reference field="13" count="1">
            <x v="0"/>
          </reference>
        </references>
      </pivotArea>
    </format>
    <format dxfId="0">
      <pivotArea collapsedLevelsAreSubtotals="1" fieldPosition="0">
        <references count="1">
          <reference field="2" count="1">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us" sourceName="Marital Staus ">
  <pivotTables>
    <pivotTable tabId="3" name="PivotTable1"/>
    <pivotTable tabId="3" name="PivotTable2"/>
    <pivotTable tabId="3"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us " cache="Slicer_Marital_Staus" caption="Marital Staus " rowHeight="234950"/>
  <slicer name="Education" cache="Slicer_Education" caption="Education" rowHeight="234950"/>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abSelected="1" topLeftCell="A253" workbookViewId="0">
      <selection activeCell="A253"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A4" workbookViewId="0">
      <selection activeCell="J23" sqref="J23"/>
    </sheetView>
  </sheetViews>
  <sheetFormatPr defaultColWidth="11.88671875" defaultRowHeight="14.4" x14ac:dyDescent="0.3"/>
  <cols>
    <col min="9" max="9" width="4.5546875" bestFit="1" customWidth="1"/>
    <col min="10" max="10" width="16.5546875" bestFit="1" customWidth="1"/>
    <col min="13" max="13" width="11.44140625" bestFit="1" customWidth="1"/>
    <col min="14" max="14" width="13.33203125" bestFit="1" customWidth="1"/>
  </cols>
  <sheetData>
    <row r="1" spans="1:14" x14ac:dyDescent="0.3">
      <c r="A1" t="s">
        <v>0</v>
      </c>
      <c r="B1" t="s">
        <v>41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1">
        <v>40000</v>
      </c>
      <c r="E2">
        <v>1</v>
      </c>
      <c r="F2" t="s">
        <v>13</v>
      </c>
      <c r="G2" t="s">
        <v>14</v>
      </c>
      <c r="H2" t="s">
        <v>15</v>
      </c>
      <c r="I2">
        <v>0</v>
      </c>
      <c r="J2" t="s">
        <v>16</v>
      </c>
      <c r="K2" t="s">
        <v>17</v>
      </c>
      <c r="L2">
        <v>42</v>
      </c>
      <c r="M2" t="str">
        <f>IF(L2&gt;=31,"Middle Age",IF(L2&lt;31,"Adolscent","Invalid"))</f>
        <v>Middle Age</v>
      </c>
      <c r="N2" t="s">
        <v>18</v>
      </c>
    </row>
    <row r="3" spans="1:14" x14ac:dyDescent="0.3">
      <c r="A3">
        <v>24107</v>
      </c>
      <c r="B3" t="s">
        <v>36</v>
      </c>
      <c r="C3" t="s">
        <v>39</v>
      </c>
      <c r="D3" s="1">
        <v>30000</v>
      </c>
      <c r="E3">
        <v>3</v>
      </c>
      <c r="F3" t="s">
        <v>19</v>
      </c>
      <c r="G3" t="s">
        <v>20</v>
      </c>
      <c r="H3" t="s">
        <v>15</v>
      </c>
      <c r="I3">
        <v>1</v>
      </c>
      <c r="J3" t="s">
        <v>16</v>
      </c>
      <c r="K3" t="s">
        <v>17</v>
      </c>
      <c r="L3">
        <v>43</v>
      </c>
      <c r="M3" t="str">
        <f>IF(L20&gt;54,"Old",IF(L3&gt;=31,"Middle Age",IF(L3&lt;31,"Adolscent","Invalid")))</f>
        <v>Middle Age</v>
      </c>
      <c r="N3" t="s">
        <v>18</v>
      </c>
    </row>
    <row r="4" spans="1:14" x14ac:dyDescent="0.3">
      <c r="A4">
        <v>14177</v>
      </c>
      <c r="B4" t="s">
        <v>36</v>
      </c>
      <c r="C4" t="s">
        <v>39</v>
      </c>
      <c r="D4" s="1">
        <v>80000</v>
      </c>
      <c r="E4">
        <v>5</v>
      </c>
      <c r="F4" t="s">
        <v>19</v>
      </c>
      <c r="G4" t="s">
        <v>21</v>
      </c>
      <c r="H4" t="s">
        <v>18</v>
      </c>
      <c r="I4">
        <v>2</v>
      </c>
      <c r="J4" t="s">
        <v>22</v>
      </c>
      <c r="K4" t="s">
        <v>17</v>
      </c>
      <c r="L4">
        <v>60</v>
      </c>
      <c r="M4" t="str">
        <f>IF(L4&gt;54,"Old",IF(L4&gt;=31,"Middle Age",IF(L4&lt;31,"Adolscent","Invalid")))</f>
        <v>Old</v>
      </c>
      <c r="N4" t="s">
        <v>18</v>
      </c>
    </row>
    <row r="5" spans="1:14" x14ac:dyDescent="0.3">
      <c r="A5">
        <v>24381</v>
      </c>
      <c r="B5" t="s">
        <v>37</v>
      </c>
      <c r="C5" t="s">
        <v>39</v>
      </c>
      <c r="D5" s="1">
        <v>70000</v>
      </c>
      <c r="E5">
        <v>0</v>
      </c>
      <c r="F5" t="s">
        <v>13</v>
      </c>
      <c r="G5" t="s">
        <v>21</v>
      </c>
      <c r="H5" t="s">
        <v>15</v>
      </c>
      <c r="I5">
        <v>1</v>
      </c>
      <c r="J5" t="s">
        <v>23</v>
      </c>
      <c r="K5" t="s">
        <v>24</v>
      </c>
      <c r="L5">
        <v>41</v>
      </c>
      <c r="M5" t="str">
        <f t="shared" ref="M5:M68" si="0">IF(L5&gt;54,"Old",IF(L5&gt;=31,"Middle Age",IF(L5&lt;31,"Adolscent","Invalid")))</f>
        <v>Middle Age</v>
      </c>
      <c r="N5" t="s">
        <v>15</v>
      </c>
    </row>
    <row r="6" spans="1:14" x14ac:dyDescent="0.3">
      <c r="A6">
        <v>25597</v>
      </c>
      <c r="B6" t="s">
        <v>37</v>
      </c>
      <c r="C6" t="s">
        <v>39</v>
      </c>
      <c r="D6" s="1">
        <v>30000</v>
      </c>
      <c r="E6">
        <v>0</v>
      </c>
      <c r="F6" t="s">
        <v>13</v>
      </c>
      <c r="G6" t="s">
        <v>20</v>
      </c>
      <c r="H6" t="s">
        <v>18</v>
      </c>
      <c r="I6">
        <v>0</v>
      </c>
      <c r="J6" t="s">
        <v>16</v>
      </c>
      <c r="K6" t="s">
        <v>17</v>
      </c>
      <c r="L6">
        <v>36</v>
      </c>
      <c r="M6" t="str">
        <f t="shared" si="0"/>
        <v>Middle Age</v>
      </c>
      <c r="N6" t="s">
        <v>15</v>
      </c>
    </row>
    <row r="7" spans="1:14" x14ac:dyDescent="0.3">
      <c r="A7">
        <v>13507</v>
      </c>
      <c r="B7" t="s">
        <v>36</v>
      </c>
      <c r="C7" t="s">
        <v>38</v>
      </c>
      <c r="D7" s="1">
        <v>10000</v>
      </c>
      <c r="E7">
        <v>2</v>
      </c>
      <c r="F7" t="s">
        <v>19</v>
      </c>
      <c r="G7" t="s">
        <v>25</v>
      </c>
      <c r="H7" t="s">
        <v>15</v>
      </c>
      <c r="I7">
        <v>0</v>
      </c>
      <c r="J7" t="s">
        <v>26</v>
      </c>
      <c r="K7" t="s">
        <v>17</v>
      </c>
      <c r="L7">
        <v>50</v>
      </c>
      <c r="M7" t="str">
        <f t="shared" si="0"/>
        <v>Middle Age</v>
      </c>
      <c r="N7" t="s">
        <v>18</v>
      </c>
    </row>
    <row r="8" spans="1:14" x14ac:dyDescent="0.3">
      <c r="A8">
        <v>27974</v>
      </c>
      <c r="B8" t="s">
        <v>37</v>
      </c>
      <c r="C8" t="s">
        <v>39</v>
      </c>
      <c r="D8" s="1">
        <v>160000</v>
      </c>
      <c r="E8">
        <v>2</v>
      </c>
      <c r="F8" t="s">
        <v>27</v>
      </c>
      <c r="G8" t="s">
        <v>28</v>
      </c>
      <c r="H8" t="s">
        <v>15</v>
      </c>
      <c r="I8">
        <v>4</v>
      </c>
      <c r="J8" t="s">
        <v>16</v>
      </c>
      <c r="K8" t="s">
        <v>24</v>
      </c>
      <c r="L8">
        <v>33</v>
      </c>
      <c r="M8" t="str">
        <f t="shared" si="0"/>
        <v>Middle Age</v>
      </c>
      <c r="N8" t="s">
        <v>15</v>
      </c>
    </row>
    <row r="9" spans="1:14" x14ac:dyDescent="0.3">
      <c r="A9">
        <v>19364</v>
      </c>
      <c r="B9" t="s">
        <v>36</v>
      </c>
      <c r="C9" t="s">
        <v>39</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1">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1">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1">
        <v>30000</v>
      </c>
      <c r="E28">
        <v>0</v>
      </c>
      <c r="F28" t="s">
        <v>19</v>
      </c>
      <c r="G28" t="s">
        <v>20</v>
      </c>
      <c r="H28" t="s">
        <v>18</v>
      </c>
      <c r="I28">
        <v>1</v>
      </c>
      <c r="J28" t="s">
        <v>16</v>
      </c>
      <c r="K28" t="s">
        <v>17</v>
      </c>
      <c r="L28">
        <v>29</v>
      </c>
      <c r="M28" t="str">
        <f t="shared" si="0"/>
        <v>Adolscent</v>
      </c>
      <c r="N28" t="s">
        <v>15</v>
      </c>
    </row>
    <row r="29" spans="1:14" x14ac:dyDescent="0.3">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1">
        <v>10000</v>
      </c>
      <c r="E33">
        <v>0</v>
      </c>
      <c r="F33" t="s">
        <v>19</v>
      </c>
      <c r="G33" t="s">
        <v>25</v>
      </c>
      <c r="H33" t="s">
        <v>18</v>
      </c>
      <c r="I33">
        <v>1</v>
      </c>
      <c r="J33" t="s">
        <v>16</v>
      </c>
      <c r="K33" t="s">
        <v>24</v>
      </c>
      <c r="L33">
        <v>26</v>
      </c>
      <c r="M33" t="str">
        <f t="shared" si="0"/>
        <v>Adolscent</v>
      </c>
      <c r="N33" t="s">
        <v>15</v>
      </c>
    </row>
    <row r="34" spans="1:14" x14ac:dyDescent="0.3">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1">
        <v>30000</v>
      </c>
      <c r="E39">
        <v>0</v>
      </c>
      <c r="F39" t="s">
        <v>19</v>
      </c>
      <c r="G39" t="s">
        <v>20</v>
      </c>
      <c r="H39" t="s">
        <v>18</v>
      </c>
      <c r="I39">
        <v>1</v>
      </c>
      <c r="J39" t="s">
        <v>22</v>
      </c>
      <c r="K39" t="s">
        <v>17</v>
      </c>
      <c r="L39">
        <v>30</v>
      </c>
      <c r="M39" t="str">
        <f t="shared" si="0"/>
        <v>Adolscent</v>
      </c>
      <c r="N39" t="s">
        <v>18</v>
      </c>
    </row>
    <row r="40" spans="1:14" x14ac:dyDescent="0.3">
      <c r="A40">
        <v>26863</v>
      </c>
      <c r="B40" t="s">
        <v>37</v>
      </c>
      <c r="C40" t="s">
        <v>39</v>
      </c>
      <c r="D40" s="1">
        <v>20000</v>
      </c>
      <c r="E40">
        <v>0</v>
      </c>
      <c r="F40" t="s">
        <v>27</v>
      </c>
      <c r="G40" t="s">
        <v>25</v>
      </c>
      <c r="H40" t="s">
        <v>18</v>
      </c>
      <c r="I40">
        <v>1</v>
      </c>
      <c r="J40" t="s">
        <v>22</v>
      </c>
      <c r="K40" t="s">
        <v>17</v>
      </c>
      <c r="L40">
        <v>28</v>
      </c>
      <c r="M40" t="str">
        <f t="shared" si="0"/>
        <v>Adolscent</v>
      </c>
      <c r="N40" t="s">
        <v>18</v>
      </c>
    </row>
    <row r="41" spans="1:14" x14ac:dyDescent="0.3">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1">
        <v>30000</v>
      </c>
      <c r="E52">
        <v>0</v>
      </c>
      <c r="F52" t="s">
        <v>19</v>
      </c>
      <c r="G52" t="s">
        <v>20</v>
      </c>
      <c r="H52" t="s">
        <v>18</v>
      </c>
      <c r="I52">
        <v>1</v>
      </c>
      <c r="J52" t="s">
        <v>16</v>
      </c>
      <c r="K52" t="s">
        <v>17</v>
      </c>
      <c r="L52">
        <v>28</v>
      </c>
      <c r="M52" t="str">
        <f t="shared" si="0"/>
        <v>Adolscent</v>
      </c>
      <c r="N52" t="s">
        <v>18</v>
      </c>
    </row>
    <row r="53" spans="1:14" x14ac:dyDescent="0.3">
      <c r="A53">
        <v>20619</v>
      </c>
      <c r="B53" t="s">
        <v>37</v>
      </c>
      <c r="C53" t="s">
        <v>39</v>
      </c>
      <c r="D53" s="1">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1">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1">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1">
        <v>30000</v>
      </c>
      <c r="E67">
        <v>2</v>
      </c>
      <c r="F67" t="s">
        <v>19</v>
      </c>
      <c r="G67" t="s">
        <v>20</v>
      </c>
      <c r="H67" t="s">
        <v>15</v>
      </c>
      <c r="I67">
        <v>2</v>
      </c>
      <c r="J67" t="s">
        <v>23</v>
      </c>
      <c r="K67" t="s">
        <v>24</v>
      </c>
      <c r="L67">
        <v>68</v>
      </c>
      <c r="M67" t="str">
        <f t="shared" si="0"/>
        <v>Old</v>
      </c>
      <c r="N67" t="s">
        <v>18</v>
      </c>
    </row>
    <row r="68" spans="1:14" x14ac:dyDescent="0.3">
      <c r="A68">
        <v>29355</v>
      </c>
      <c r="B68" t="s">
        <v>36</v>
      </c>
      <c r="C68" t="s">
        <v>38</v>
      </c>
      <c r="D68" s="1">
        <v>40000</v>
      </c>
      <c r="E68">
        <v>0</v>
      </c>
      <c r="F68" t="s">
        <v>31</v>
      </c>
      <c r="G68" t="s">
        <v>20</v>
      </c>
      <c r="H68" t="s">
        <v>15</v>
      </c>
      <c r="I68">
        <v>0</v>
      </c>
      <c r="J68" t="s">
        <v>16</v>
      </c>
      <c r="K68" t="s">
        <v>17</v>
      </c>
      <c r="L68">
        <v>37</v>
      </c>
      <c r="M68" t="str">
        <f t="shared" si="0"/>
        <v>Middle Age</v>
      </c>
      <c r="N68" t="s">
        <v>15</v>
      </c>
    </row>
    <row r="69" spans="1:14" x14ac:dyDescent="0.3">
      <c r="A69">
        <v>25303</v>
      </c>
      <c r="B69" t="s">
        <v>37</v>
      </c>
      <c r="C69" t="s">
        <v>39</v>
      </c>
      <c r="D69" s="1">
        <v>30000</v>
      </c>
      <c r="E69">
        <v>0</v>
      </c>
      <c r="F69" t="s">
        <v>27</v>
      </c>
      <c r="G69" t="s">
        <v>25</v>
      </c>
      <c r="H69" t="s">
        <v>15</v>
      </c>
      <c r="I69">
        <v>1</v>
      </c>
      <c r="J69" t="s">
        <v>22</v>
      </c>
      <c r="K69" t="s">
        <v>17</v>
      </c>
      <c r="L69">
        <v>33</v>
      </c>
      <c r="M69" t="str">
        <f t="shared" ref="M69:M132" si="1">IF(L69&gt;54,"Old",IF(L69&gt;=31,"Middle Age",IF(L69&lt;31,"Adolscent","Invalid")))</f>
        <v>Middle Age</v>
      </c>
      <c r="N69" t="s">
        <v>15</v>
      </c>
    </row>
    <row r="70" spans="1:14" x14ac:dyDescent="0.3">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1">
        <v>10000</v>
      </c>
      <c r="E71">
        <v>0</v>
      </c>
      <c r="F71" t="s">
        <v>29</v>
      </c>
      <c r="G71" t="s">
        <v>25</v>
      </c>
      <c r="H71" t="s">
        <v>18</v>
      </c>
      <c r="I71">
        <v>2</v>
      </c>
      <c r="J71" t="s">
        <v>16</v>
      </c>
      <c r="K71" t="s">
        <v>17</v>
      </c>
      <c r="L71">
        <v>30</v>
      </c>
      <c r="M71" t="str">
        <f t="shared" si="1"/>
        <v>Adolscent</v>
      </c>
      <c r="N71" t="s">
        <v>18</v>
      </c>
    </row>
    <row r="72" spans="1:14" x14ac:dyDescent="0.3">
      <c r="A72">
        <v>14238</v>
      </c>
      <c r="B72" t="s">
        <v>36</v>
      </c>
      <c r="C72" t="s">
        <v>39</v>
      </c>
      <c r="D72" s="1">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1">
        <v>20000</v>
      </c>
      <c r="E78">
        <v>0</v>
      </c>
      <c r="F78" t="s">
        <v>29</v>
      </c>
      <c r="G78" t="s">
        <v>25</v>
      </c>
      <c r="H78" t="s">
        <v>18</v>
      </c>
      <c r="I78">
        <v>2</v>
      </c>
      <c r="J78" t="s">
        <v>26</v>
      </c>
      <c r="K78" t="s">
        <v>17</v>
      </c>
      <c r="L78">
        <v>26</v>
      </c>
      <c r="M78" t="str">
        <f t="shared" si="1"/>
        <v>Adolscent</v>
      </c>
      <c r="N78" t="s">
        <v>18</v>
      </c>
    </row>
    <row r="79" spans="1:14" x14ac:dyDescent="0.3">
      <c r="A79">
        <v>27969</v>
      </c>
      <c r="B79" t="s">
        <v>36</v>
      </c>
      <c r="C79" t="s">
        <v>39</v>
      </c>
      <c r="D79" s="1">
        <v>80000</v>
      </c>
      <c r="E79">
        <v>0</v>
      </c>
      <c r="F79" t="s">
        <v>13</v>
      </c>
      <c r="G79" t="s">
        <v>21</v>
      </c>
      <c r="H79" t="s">
        <v>15</v>
      </c>
      <c r="I79">
        <v>2</v>
      </c>
      <c r="J79" t="s">
        <v>47</v>
      </c>
      <c r="K79" t="s">
        <v>24</v>
      </c>
      <c r="L79">
        <v>29</v>
      </c>
      <c r="M79" t="str">
        <f t="shared" si="1"/>
        <v>Adolscent</v>
      </c>
      <c r="N79" t="s">
        <v>15</v>
      </c>
    </row>
    <row r="80" spans="1:14" x14ac:dyDescent="0.3">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1">
        <v>20000</v>
      </c>
      <c r="E85">
        <v>0</v>
      </c>
      <c r="F85" t="s">
        <v>27</v>
      </c>
      <c r="G85" t="s">
        <v>25</v>
      </c>
      <c r="H85" t="s">
        <v>18</v>
      </c>
      <c r="I85">
        <v>1</v>
      </c>
      <c r="J85" t="s">
        <v>22</v>
      </c>
      <c r="K85" t="s">
        <v>17</v>
      </c>
      <c r="L85">
        <v>29</v>
      </c>
      <c r="M85" t="str">
        <f t="shared" si="1"/>
        <v>Adolscent</v>
      </c>
      <c r="N85" t="s">
        <v>18</v>
      </c>
    </row>
    <row r="86" spans="1:14" x14ac:dyDescent="0.3">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1">
        <v>10000</v>
      </c>
      <c r="E87">
        <v>0</v>
      </c>
      <c r="F87" t="s">
        <v>19</v>
      </c>
      <c r="G87" t="s">
        <v>25</v>
      </c>
      <c r="H87" t="s">
        <v>15</v>
      </c>
      <c r="I87">
        <v>1</v>
      </c>
      <c r="J87" t="s">
        <v>26</v>
      </c>
      <c r="K87" t="s">
        <v>24</v>
      </c>
      <c r="L87">
        <v>26</v>
      </c>
      <c r="M87" t="str">
        <f t="shared" si="1"/>
        <v>Adolscent</v>
      </c>
      <c r="N87" t="s">
        <v>15</v>
      </c>
    </row>
    <row r="88" spans="1:14" x14ac:dyDescent="0.3">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1">
        <v>30000</v>
      </c>
      <c r="E90">
        <v>0</v>
      </c>
      <c r="F90" t="s">
        <v>19</v>
      </c>
      <c r="G90" t="s">
        <v>20</v>
      </c>
      <c r="H90" t="s">
        <v>18</v>
      </c>
      <c r="I90">
        <v>1</v>
      </c>
      <c r="J90" t="s">
        <v>22</v>
      </c>
      <c r="K90" t="s">
        <v>17</v>
      </c>
      <c r="L90">
        <v>29</v>
      </c>
      <c r="M90" t="str">
        <f t="shared" si="1"/>
        <v>Adolscent</v>
      </c>
      <c r="N90" t="s">
        <v>18</v>
      </c>
    </row>
    <row r="91" spans="1:14" x14ac:dyDescent="0.3">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1">
        <v>30000</v>
      </c>
      <c r="E92">
        <v>0</v>
      </c>
      <c r="F92" t="s">
        <v>19</v>
      </c>
      <c r="G92" t="s">
        <v>20</v>
      </c>
      <c r="H92" t="s">
        <v>18</v>
      </c>
      <c r="I92">
        <v>1</v>
      </c>
      <c r="J92" t="s">
        <v>16</v>
      </c>
      <c r="K92" t="s">
        <v>17</v>
      </c>
      <c r="L92">
        <v>29</v>
      </c>
      <c r="M92" t="str">
        <f t="shared" si="1"/>
        <v>Adolscent</v>
      </c>
      <c r="N92" t="s">
        <v>15</v>
      </c>
    </row>
    <row r="93" spans="1:14" x14ac:dyDescent="0.3">
      <c r="A93">
        <v>28436</v>
      </c>
      <c r="B93" t="s">
        <v>37</v>
      </c>
      <c r="C93" t="s">
        <v>39</v>
      </c>
      <c r="D93" s="1">
        <v>30000</v>
      </c>
      <c r="E93">
        <v>0</v>
      </c>
      <c r="F93" t="s">
        <v>19</v>
      </c>
      <c r="G93" t="s">
        <v>20</v>
      </c>
      <c r="H93" t="s">
        <v>18</v>
      </c>
      <c r="I93">
        <v>1</v>
      </c>
      <c r="J93" t="s">
        <v>16</v>
      </c>
      <c r="K93" t="s">
        <v>17</v>
      </c>
      <c r="L93">
        <v>30</v>
      </c>
      <c r="M93" t="str">
        <f t="shared" si="1"/>
        <v>Adolscent</v>
      </c>
      <c r="N93" t="s">
        <v>15</v>
      </c>
    </row>
    <row r="94" spans="1:14" x14ac:dyDescent="0.3">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1">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1">
        <v>40000</v>
      </c>
      <c r="E100">
        <v>0</v>
      </c>
      <c r="F100" t="s">
        <v>31</v>
      </c>
      <c r="G100" t="s">
        <v>20</v>
      </c>
      <c r="H100" t="s">
        <v>15</v>
      </c>
      <c r="I100">
        <v>0</v>
      </c>
      <c r="J100" t="s">
        <v>16</v>
      </c>
      <c r="K100" t="s">
        <v>17</v>
      </c>
      <c r="L100">
        <v>25</v>
      </c>
      <c r="M100" t="str">
        <f t="shared" si="1"/>
        <v>Adolscent</v>
      </c>
      <c r="N100" t="s">
        <v>15</v>
      </c>
    </row>
    <row r="101" spans="1:14" x14ac:dyDescent="0.3">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1">
        <v>30000</v>
      </c>
      <c r="E107">
        <v>0</v>
      </c>
      <c r="F107" t="s">
        <v>19</v>
      </c>
      <c r="G107" t="s">
        <v>20</v>
      </c>
      <c r="H107" t="s">
        <v>18</v>
      </c>
      <c r="I107">
        <v>1</v>
      </c>
      <c r="J107" t="s">
        <v>22</v>
      </c>
      <c r="K107" t="s">
        <v>17</v>
      </c>
      <c r="L107">
        <v>30</v>
      </c>
      <c r="M107" t="str">
        <f t="shared" si="1"/>
        <v>Adolscent</v>
      </c>
      <c r="N107" t="s">
        <v>18</v>
      </c>
    </row>
    <row r="108" spans="1:14" x14ac:dyDescent="0.3">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1">
        <v>20000</v>
      </c>
      <c r="E116">
        <v>0</v>
      </c>
      <c r="F116" t="s">
        <v>13</v>
      </c>
      <c r="G116" t="s">
        <v>20</v>
      </c>
      <c r="H116" t="s">
        <v>15</v>
      </c>
      <c r="I116">
        <v>0</v>
      </c>
      <c r="J116" t="s">
        <v>16</v>
      </c>
      <c r="K116" t="s">
        <v>24</v>
      </c>
      <c r="L116">
        <v>26</v>
      </c>
      <c r="M116" t="str">
        <f t="shared" si="1"/>
        <v>Adolscent</v>
      </c>
      <c r="N116" t="s">
        <v>15</v>
      </c>
    </row>
    <row r="117" spans="1:14" x14ac:dyDescent="0.3">
      <c r="A117">
        <v>24140</v>
      </c>
      <c r="B117" t="s">
        <v>37</v>
      </c>
      <c r="C117" t="s">
        <v>39</v>
      </c>
      <c r="D117" s="1">
        <v>10000</v>
      </c>
      <c r="E117">
        <v>0</v>
      </c>
      <c r="F117" t="s">
        <v>31</v>
      </c>
      <c r="G117" t="s">
        <v>25</v>
      </c>
      <c r="H117" t="s">
        <v>18</v>
      </c>
      <c r="I117">
        <v>0</v>
      </c>
      <c r="J117" t="s">
        <v>16</v>
      </c>
      <c r="K117" t="s">
        <v>17</v>
      </c>
      <c r="L117">
        <v>30</v>
      </c>
      <c r="M117" t="str">
        <f t="shared" si="1"/>
        <v>Adolscent</v>
      </c>
      <c r="N117" t="s">
        <v>15</v>
      </c>
    </row>
    <row r="118" spans="1:14" x14ac:dyDescent="0.3">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1">
        <v>30000</v>
      </c>
      <c r="E121">
        <v>0</v>
      </c>
      <c r="F121" t="s">
        <v>19</v>
      </c>
      <c r="G121" t="s">
        <v>20</v>
      </c>
      <c r="H121" t="s">
        <v>18</v>
      </c>
      <c r="I121">
        <v>1</v>
      </c>
      <c r="J121" t="s">
        <v>22</v>
      </c>
      <c r="K121" t="s">
        <v>17</v>
      </c>
      <c r="L121">
        <v>29</v>
      </c>
      <c r="M121" t="str">
        <f t="shared" si="1"/>
        <v>Adolscent</v>
      </c>
      <c r="N121" t="s">
        <v>18</v>
      </c>
    </row>
    <row r="122" spans="1:14" x14ac:dyDescent="0.3">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1">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1">
        <v>10000</v>
      </c>
      <c r="E131">
        <v>3</v>
      </c>
      <c r="F131" t="s">
        <v>27</v>
      </c>
      <c r="G131" t="s">
        <v>25</v>
      </c>
      <c r="H131" t="s">
        <v>15</v>
      </c>
      <c r="I131">
        <v>1</v>
      </c>
      <c r="J131" t="s">
        <v>16</v>
      </c>
      <c r="K131" t="s">
        <v>17</v>
      </c>
      <c r="L131">
        <v>39</v>
      </c>
      <c r="M131" t="str">
        <f t="shared" si="1"/>
        <v>Middle Age</v>
      </c>
      <c r="N131" t="s">
        <v>15</v>
      </c>
    </row>
    <row r="132" spans="1:14" x14ac:dyDescent="0.3">
      <c r="A132">
        <v>12993</v>
      </c>
      <c r="B132" t="s">
        <v>36</v>
      </c>
      <c r="C132" t="s">
        <v>39</v>
      </c>
      <c r="D132" s="1">
        <v>60000</v>
      </c>
      <c r="E132">
        <v>2</v>
      </c>
      <c r="F132" t="s">
        <v>13</v>
      </c>
      <c r="G132" t="s">
        <v>21</v>
      </c>
      <c r="H132" t="s">
        <v>15</v>
      </c>
      <c r="I132">
        <v>1</v>
      </c>
      <c r="J132" t="s">
        <v>22</v>
      </c>
      <c r="K132" t="s">
        <v>24</v>
      </c>
      <c r="L132">
        <v>37</v>
      </c>
      <c r="M132" t="str">
        <f t="shared" si="1"/>
        <v>Middle Age</v>
      </c>
      <c r="N132" t="s">
        <v>18</v>
      </c>
    </row>
    <row r="133" spans="1:14" x14ac:dyDescent="0.3">
      <c r="A133">
        <v>14192</v>
      </c>
      <c r="B133" t="s">
        <v>36</v>
      </c>
      <c r="C133" t="s">
        <v>39</v>
      </c>
      <c r="D133" s="1">
        <v>90000</v>
      </c>
      <c r="E133">
        <v>4</v>
      </c>
      <c r="F133" t="s">
        <v>27</v>
      </c>
      <c r="G133" t="s">
        <v>28</v>
      </c>
      <c r="H133" t="s">
        <v>15</v>
      </c>
      <c r="I133">
        <v>3</v>
      </c>
      <c r="J133" t="s">
        <v>23</v>
      </c>
      <c r="K133" t="s">
        <v>17</v>
      </c>
      <c r="L133">
        <v>56</v>
      </c>
      <c r="M133" t="str">
        <f t="shared" ref="M133:M196" si="2">IF(L133&gt;54,"Old",IF(L133&gt;=31,"Middle Age",IF(L133&lt;31,"Adolscent","Invalid")))</f>
        <v>Old</v>
      </c>
      <c r="N133" t="s">
        <v>15</v>
      </c>
    </row>
    <row r="134" spans="1:14" x14ac:dyDescent="0.3">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1">
        <v>10000</v>
      </c>
      <c r="E143">
        <v>0</v>
      </c>
      <c r="F143" t="s">
        <v>19</v>
      </c>
      <c r="G143" t="s">
        <v>25</v>
      </c>
      <c r="H143" t="s">
        <v>18</v>
      </c>
      <c r="I143">
        <v>1</v>
      </c>
      <c r="J143" t="s">
        <v>16</v>
      </c>
      <c r="K143" t="s">
        <v>24</v>
      </c>
      <c r="L143">
        <v>26</v>
      </c>
      <c r="M143" t="str">
        <f t="shared" si="2"/>
        <v>Adolscent</v>
      </c>
      <c r="N143" t="s">
        <v>15</v>
      </c>
    </row>
    <row r="144" spans="1:14" x14ac:dyDescent="0.3">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1">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1">
        <v>30000</v>
      </c>
      <c r="E151">
        <v>0</v>
      </c>
      <c r="F151" t="s">
        <v>19</v>
      </c>
      <c r="G151" t="s">
        <v>20</v>
      </c>
      <c r="H151" t="s">
        <v>18</v>
      </c>
      <c r="I151">
        <v>1</v>
      </c>
      <c r="J151" t="s">
        <v>26</v>
      </c>
      <c r="K151" t="s">
        <v>17</v>
      </c>
      <c r="L151">
        <v>27</v>
      </c>
      <c r="M151" t="str">
        <f t="shared" si="2"/>
        <v>Adolscent</v>
      </c>
      <c r="N151" t="s">
        <v>18</v>
      </c>
    </row>
    <row r="152" spans="1:14" x14ac:dyDescent="0.3">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1">
        <v>10000</v>
      </c>
      <c r="E166">
        <v>0</v>
      </c>
      <c r="F166" t="s">
        <v>19</v>
      </c>
      <c r="G166" t="s">
        <v>25</v>
      </c>
      <c r="H166" t="s">
        <v>15</v>
      </c>
      <c r="I166">
        <v>1</v>
      </c>
      <c r="J166" t="s">
        <v>22</v>
      </c>
      <c r="K166" t="s">
        <v>24</v>
      </c>
      <c r="L166">
        <v>25</v>
      </c>
      <c r="M166" t="str">
        <f t="shared" si="2"/>
        <v>Adolscent</v>
      </c>
      <c r="N166" t="s">
        <v>15</v>
      </c>
    </row>
    <row r="167" spans="1:14" x14ac:dyDescent="0.3">
      <c r="A167">
        <v>15465</v>
      </c>
      <c r="B167" t="s">
        <v>36</v>
      </c>
      <c r="C167" t="s">
        <v>38</v>
      </c>
      <c r="D167" s="1">
        <v>10000</v>
      </c>
      <c r="E167">
        <v>0</v>
      </c>
      <c r="F167" t="s">
        <v>19</v>
      </c>
      <c r="G167" t="s">
        <v>25</v>
      </c>
      <c r="H167" t="s">
        <v>18</v>
      </c>
      <c r="I167">
        <v>1</v>
      </c>
      <c r="J167" t="s">
        <v>16</v>
      </c>
      <c r="K167" t="s">
        <v>24</v>
      </c>
      <c r="L167">
        <v>25</v>
      </c>
      <c r="M167" t="str">
        <f t="shared" si="2"/>
        <v>Adolscent</v>
      </c>
      <c r="N167" t="s">
        <v>18</v>
      </c>
    </row>
    <row r="168" spans="1:14" x14ac:dyDescent="0.3">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1">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1">
        <v>10000</v>
      </c>
      <c r="E175">
        <v>0</v>
      </c>
      <c r="F175" t="s">
        <v>19</v>
      </c>
      <c r="G175" t="s">
        <v>25</v>
      </c>
      <c r="H175" t="s">
        <v>15</v>
      </c>
      <c r="I175">
        <v>1</v>
      </c>
      <c r="J175" t="s">
        <v>22</v>
      </c>
      <c r="K175" t="s">
        <v>24</v>
      </c>
      <c r="L175">
        <v>27</v>
      </c>
      <c r="M175" t="str">
        <f t="shared" si="2"/>
        <v>Adolscent</v>
      </c>
      <c r="N175" t="s">
        <v>18</v>
      </c>
    </row>
    <row r="176" spans="1:14" x14ac:dyDescent="0.3">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1">
        <v>20000</v>
      </c>
      <c r="E178">
        <v>0</v>
      </c>
      <c r="F178" t="s">
        <v>19</v>
      </c>
      <c r="G178" t="s">
        <v>25</v>
      </c>
      <c r="H178" t="s">
        <v>15</v>
      </c>
      <c r="I178">
        <v>0</v>
      </c>
      <c r="J178" t="s">
        <v>16</v>
      </c>
      <c r="K178" t="s">
        <v>24</v>
      </c>
      <c r="L178">
        <v>29</v>
      </c>
      <c r="M178" t="str">
        <f t="shared" si="2"/>
        <v>Adolscent</v>
      </c>
      <c r="N178" t="s">
        <v>15</v>
      </c>
    </row>
    <row r="179" spans="1:14" x14ac:dyDescent="0.3">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1">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1">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1">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1">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1">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1">
        <v>70000</v>
      </c>
      <c r="E195">
        <v>5</v>
      </c>
      <c r="F195" t="s">
        <v>13</v>
      </c>
      <c r="G195" t="s">
        <v>21</v>
      </c>
      <c r="H195" t="s">
        <v>15</v>
      </c>
      <c r="I195">
        <v>4</v>
      </c>
      <c r="J195" t="s">
        <v>47</v>
      </c>
      <c r="K195" t="s">
        <v>24</v>
      </c>
      <c r="L195">
        <v>41</v>
      </c>
      <c r="M195" t="str">
        <f t="shared" si="2"/>
        <v>Middle Age</v>
      </c>
      <c r="N195" t="s">
        <v>18</v>
      </c>
    </row>
    <row r="196" spans="1:14" x14ac:dyDescent="0.3">
      <c r="A196">
        <v>17843</v>
      </c>
      <c r="B196" t="s">
        <v>37</v>
      </c>
      <c r="C196" t="s">
        <v>38</v>
      </c>
      <c r="D196" s="1">
        <v>10000</v>
      </c>
      <c r="E196">
        <v>0</v>
      </c>
      <c r="F196" t="s">
        <v>29</v>
      </c>
      <c r="G196" t="s">
        <v>25</v>
      </c>
      <c r="H196" t="s">
        <v>18</v>
      </c>
      <c r="I196">
        <v>2</v>
      </c>
      <c r="J196" t="s">
        <v>16</v>
      </c>
      <c r="K196" t="s">
        <v>17</v>
      </c>
      <c r="L196">
        <v>32</v>
      </c>
      <c r="M196" t="str">
        <f t="shared" si="2"/>
        <v>Middle Age</v>
      </c>
      <c r="N196" t="s">
        <v>18</v>
      </c>
    </row>
    <row r="197" spans="1:14" x14ac:dyDescent="0.3">
      <c r="A197">
        <v>25559</v>
      </c>
      <c r="B197" t="s">
        <v>37</v>
      </c>
      <c r="C197" t="s">
        <v>39</v>
      </c>
      <c r="D197" s="1">
        <v>20000</v>
      </c>
      <c r="E197">
        <v>0</v>
      </c>
      <c r="F197" t="s">
        <v>13</v>
      </c>
      <c r="G197" t="s">
        <v>20</v>
      </c>
      <c r="H197" t="s">
        <v>15</v>
      </c>
      <c r="I197">
        <v>0</v>
      </c>
      <c r="J197" t="s">
        <v>16</v>
      </c>
      <c r="K197" t="s">
        <v>24</v>
      </c>
      <c r="L197">
        <v>25</v>
      </c>
      <c r="M197" t="str">
        <f t="shared" ref="M197:M260" si="3">IF(L197&gt;54,"Old",IF(L197&gt;=31,"Middle Age",IF(L197&lt;31,"Adolscent","Invalid")))</f>
        <v>Adolscent</v>
      </c>
      <c r="N197" t="s">
        <v>15</v>
      </c>
    </row>
    <row r="198" spans="1:14" x14ac:dyDescent="0.3">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1">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1">
        <v>10000</v>
      </c>
      <c r="E203">
        <v>1</v>
      </c>
      <c r="F203" t="s">
        <v>27</v>
      </c>
      <c r="G203" t="s">
        <v>25</v>
      </c>
      <c r="H203" t="s">
        <v>15</v>
      </c>
      <c r="I203">
        <v>0</v>
      </c>
      <c r="J203" t="s">
        <v>22</v>
      </c>
      <c r="K203" t="s">
        <v>24</v>
      </c>
      <c r="L203">
        <v>27</v>
      </c>
      <c r="M203" t="str">
        <f t="shared" si="3"/>
        <v>Adolscent</v>
      </c>
      <c r="N203" t="s">
        <v>15</v>
      </c>
    </row>
    <row r="204" spans="1:14" x14ac:dyDescent="0.3">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1">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1">
        <v>20000</v>
      </c>
      <c r="E209">
        <v>0</v>
      </c>
      <c r="F209" t="s">
        <v>29</v>
      </c>
      <c r="G209" t="s">
        <v>25</v>
      </c>
      <c r="H209" t="s">
        <v>15</v>
      </c>
      <c r="I209">
        <v>2</v>
      </c>
      <c r="J209" t="s">
        <v>26</v>
      </c>
      <c r="K209" t="s">
        <v>17</v>
      </c>
      <c r="L209">
        <v>26</v>
      </c>
      <c r="M209" t="str">
        <f t="shared" si="3"/>
        <v>Adolscent</v>
      </c>
      <c r="N209" t="s">
        <v>15</v>
      </c>
    </row>
    <row r="210" spans="1:14" x14ac:dyDescent="0.3">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1">
        <v>30000</v>
      </c>
      <c r="E214">
        <v>0</v>
      </c>
      <c r="F214" t="s">
        <v>19</v>
      </c>
      <c r="G214" t="s">
        <v>20</v>
      </c>
      <c r="H214" t="s">
        <v>18</v>
      </c>
      <c r="I214">
        <v>1</v>
      </c>
      <c r="J214" t="s">
        <v>22</v>
      </c>
      <c r="K214" t="s">
        <v>17</v>
      </c>
      <c r="L214">
        <v>30</v>
      </c>
      <c r="M214" t="str">
        <f t="shared" si="3"/>
        <v>Adolscent</v>
      </c>
      <c r="N214" t="s">
        <v>18</v>
      </c>
    </row>
    <row r="215" spans="1:14" x14ac:dyDescent="0.3">
      <c r="A215">
        <v>11451</v>
      </c>
      <c r="B215" t="s">
        <v>37</v>
      </c>
      <c r="C215" t="s">
        <v>39</v>
      </c>
      <c r="D215" s="1">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1">
        <v>20000</v>
      </c>
      <c r="E219">
        <v>0</v>
      </c>
      <c r="F219" t="s">
        <v>29</v>
      </c>
      <c r="G219" t="s">
        <v>25</v>
      </c>
      <c r="H219" t="s">
        <v>18</v>
      </c>
      <c r="I219">
        <v>2</v>
      </c>
      <c r="J219" t="s">
        <v>16</v>
      </c>
      <c r="K219" t="s">
        <v>17</v>
      </c>
      <c r="L219">
        <v>25</v>
      </c>
      <c r="M219" t="str">
        <f t="shared" si="3"/>
        <v>Adolscent</v>
      </c>
      <c r="N219" t="s">
        <v>18</v>
      </c>
    </row>
    <row r="220" spans="1:14" x14ac:dyDescent="0.3">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1">
        <v>10000</v>
      </c>
      <c r="E221">
        <v>0</v>
      </c>
      <c r="F221" t="s">
        <v>19</v>
      </c>
      <c r="G221" t="s">
        <v>25</v>
      </c>
      <c r="H221" t="s">
        <v>15</v>
      </c>
      <c r="I221">
        <v>1</v>
      </c>
      <c r="J221" t="s">
        <v>26</v>
      </c>
      <c r="K221" t="s">
        <v>24</v>
      </c>
      <c r="L221">
        <v>26</v>
      </c>
      <c r="M221" t="str">
        <f t="shared" si="3"/>
        <v>Adolscent</v>
      </c>
      <c r="N221" t="s">
        <v>15</v>
      </c>
    </row>
    <row r="222" spans="1:14" x14ac:dyDescent="0.3">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1">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1">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1">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1">
        <v>20000</v>
      </c>
      <c r="E235">
        <v>0</v>
      </c>
      <c r="F235" t="s">
        <v>13</v>
      </c>
      <c r="G235" t="s">
        <v>20</v>
      </c>
      <c r="H235" t="s">
        <v>15</v>
      </c>
      <c r="I235">
        <v>0</v>
      </c>
      <c r="J235" t="s">
        <v>16</v>
      </c>
      <c r="K235" t="s">
        <v>24</v>
      </c>
      <c r="L235">
        <v>27</v>
      </c>
      <c r="M235" t="str">
        <f t="shared" si="3"/>
        <v>Adolscent</v>
      </c>
      <c r="N235" t="s">
        <v>15</v>
      </c>
    </row>
    <row r="236" spans="1:14" x14ac:dyDescent="0.3">
      <c r="A236">
        <v>24611</v>
      </c>
      <c r="B236" t="s">
        <v>37</v>
      </c>
      <c r="C236" t="s">
        <v>39</v>
      </c>
      <c r="D236" s="1">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1">
        <v>10000</v>
      </c>
      <c r="E239">
        <v>0</v>
      </c>
      <c r="F239" t="s">
        <v>19</v>
      </c>
      <c r="G239" t="s">
        <v>25</v>
      </c>
      <c r="H239" t="s">
        <v>18</v>
      </c>
      <c r="I239">
        <v>1</v>
      </c>
      <c r="J239" t="s">
        <v>16</v>
      </c>
      <c r="K239" t="s">
        <v>24</v>
      </c>
      <c r="L239">
        <v>26</v>
      </c>
      <c r="M239" t="str">
        <f t="shared" si="3"/>
        <v>Adolscent</v>
      </c>
      <c r="N239" t="s">
        <v>15</v>
      </c>
    </row>
    <row r="240" spans="1:14" x14ac:dyDescent="0.3">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1">
        <v>30000</v>
      </c>
      <c r="E243">
        <v>3</v>
      </c>
      <c r="F243" t="s">
        <v>19</v>
      </c>
      <c r="G243" t="s">
        <v>20</v>
      </c>
      <c r="H243" t="s">
        <v>15</v>
      </c>
      <c r="I243">
        <v>2</v>
      </c>
      <c r="J243" t="s">
        <v>16</v>
      </c>
      <c r="K243" t="s">
        <v>17</v>
      </c>
      <c r="L243">
        <v>27</v>
      </c>
      <c r="M243" t="str">
        <f t="shared" si="3"/>
        <v>Adolscent</v>
      </c>
      <c r="N243" t="s">
        <v>18</v>
      </c>
    </row>
    <row r="244" spans="1:14" x14ac:dyDescent="0.3">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1">
        <v>20000</v>
      </c>
      <c r="E245">
        <v>0</v>
      </c>
      <c r="F245" t="s">
        <v>27</v>
      </c>
      <c r="G245" t="s">
        <v>25</v>
      </c>
      <c r="H245" t="s">
        <v>18</v>
      </c>
      <c r="I245">
        <v>1</v>
      </c>
      <c r="J245" t="s">
        <v>22</v>
      </c>
      <c r="K245" t="s">
        <v>17</v>
      </c>
      <c r="L245">
        <v>29</v>
      </c>
      <c r="M245" t="str">
        <f t="shared" si="3"/>
        <v>Adolscent</v>
      </c>
      <c r="N245" t="s">
        <v>18</v>
      </c>
    </row>
    <row r="246" spans="1:14" x14ac:dyDescent="0.3">
      <c r="A246">
        <v>19057</v>
      </c>
      <c r="B246" t="s">
        <v>36</v>
      </c>
      <c r="C246" t="s">
        <v>38</v>
      </c>
      <c r="D246" s="1">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1">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1">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1">
        <v>50000</v>
      </c>
      <c r="E259">
        <v>0</v>
      </c>
      <c r="F259" t="s">
        <v>31</v>
      </c>
      <c r="G259" t="s">
        <v>14</v>
      </c>
      <c r="H259" t="s">
        <v>15</v>
      </c>
      <c r="I259">
        <v>0</v>
      </c>
      <c r="J259" t="s">
        <v>16</v>
      </c>
      <c r="K259" t="s">
        <v>17</v>
      </c>
      <c r="L259">
        <v>36</v>
      </c>
      <c r="M259" t="str">
        <f t="shared" si="3"/>
        <v>Middle Age</v>
      </c>
      <c r="N259" t="s">
        <v>15</v>
      </c>
    </row>
    <row r="260" spans="1:14" x14ac:dyDescent="0.3">
      <c r="A260">
        <v>14193</v>
      </c>
      <c r="B260" t="s">
        <v>37</v>
      </c>
      <c r="C260" t="s">
        <v>38</v>
      </c>
      <c r="D260" s="1">
        <v>100000</v>
      </c>
      <c r="E260">
        <v>3</v>
      </c>
      <c r="F260" t="s">
        <v>19</v>
      </c>
      <c r="G260" t="s">
        <v>28</v>
      </c>
      <c r="H260" t="s">
        <v>15</v>
      </c>
      <c r="I260">
        <v>4</v>
      </c>
      <c r="J260" t="s">
        <v>47</v>
      </c>
      <c r="K260" t="s">
        <v>17</v>
      </c>
      <c r="L260">
        <v>56</v>
      </c>
      <c r="M260" t="str">
        <f t="shared" si="3"/>
        <v>Old</v>
      </c>
      <c r="N260" t="s">
        <v>18</v>
      </c>
    </row>
    <row r="261" spans="1:14" x14ac:dyDescent="0.3">
      <c r="A261">
        <v>12705</v>
      </c>
      <c r="B261" t="s">
        <v>36</v>
      </c>
      <c r="C261" t="s">
        <v>39</v>
      </c>
      <c r="D261" s="1">
        <v>150000</v>
      </c>
      <c r="E261">
        <v>0</v>
      </c>
      <c r="F261" t="s">
        <v>13</v>
      </c>
      <c r="G261" t="s">
        <v>28</v>
      </c>
      <c r="H261" t="s">
        <v>15</v>
      </c>
      <c r="I261">
        <v>4</v>
      </c>
      <c r="J261" t="s">
        <v>16</v>
      </c>
      <c r="K261" t="s">
        <v>24</v>
      </c>
      <c r="L261">
        <v>37</v>
      </c>
      <c r="M261" t="str">
        <f t="shared" ref="M261:M324" si="4">IF(L261&gt;54,"Old",IF(L261&gt;=31,"Middle Age",IF(L261&lt;31,"Adolscent","Invalid")))</f>
        <v>Middle Age</v>
      </c>
      <c r="N261" t="s">
        <v>15</v>
      </c>
    </row>
    <row r="262" spans="1:14" x14ac:dyDescent="0.3">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1">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1">
        <v>20000</v>
      </c>
      <c r="E268">
        <v>5</v>
      </c>
      <c r="F268" t="s">
        <v>27</v>
      </c>
      <c r="G268" t="s">
        <v>25</v>
      </c>
      <c r="H268" t="s">
        <v>15</v>
      </c>
      <c r="I268">
        <v>2</v>
      </c>
      <c r="J268" t="s">
        <v>16</v>
      </c>
      <c r="K268" t="s">
        <v>17</v>
      </c>
      <c r="L268">
        <v>27</v>
      </c>
      <c r="M268" t="str">
        <f t="shared" si="4"/>
        <v>Adolscent</v>
      </c>
      <c r="N268" t="s">
        <v>18</v>
      </c>
    </row>
    <row r="269" spans="1:14" x14ac:dyDescent="0.3">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1">
        <v>20000</v>
      </c>
      <c r="E273">
        <v>0</v>
      </c>
      <c r="F273" t="s">
        <v>27</v>
      </c>
      <c r="G273" t="s">
        <v>25</v>
      </c>
      <c r="H273" t="s">
        <v>18</v>
      </c>
      <c r="I273">
        <v>1</v>
      </c>
      <c r="J273" t="s">
        <v>26</v>
      </c>
      <c r="K273" t="s">
        <v>17</v>
      </c>
      <c r="L273">
        <v>28</v>
      </c>
      <c r="M273" t="str">
        <f t="shared" si="4"/>
        <v>Adolscent</v>
      </c>
      <c r="N273" t="s">
        <v>18</v>
      </c>
    </row>
    <row r="274" spans="1:14" x14ac:dyDescent="0.3">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1">
        <v>20000</v>
      </c>
      <c r="E275">
        <v>0</v>
      </c>
      <c r="F275" t="s">
        <v>27</v>
      </c>
      <c r="G275" t="s">
        <v>25</v>
      </c>
      <c r="H275" t="s">
        <v>18</v>
      </c>
      <c r="I275">
        <v>1</v>
      </c>
      <c r="J275" t="s">
        <v>22</v>
      </c>
      <c r="K275" t="s">
        <v>17</v>
      </c>
      <c r="L275">
        <v>30</v>
      </c>
      <c r="M275" t="str">
        <f t="shared" si="4"/>
        <v>Adolscent</v>
      </c>
      <c r="N275" t="s">
        <v>18</v>
      </c>
    </row>
    <row r="276" spans="1:14" x14ac:dyDescent="0.3">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1">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1">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1">
        <v>40000</v>
      </c>
      <c r="E303">
        <v>0</v>
      </c>
      <c r="F303" t="s">
        <v>13</v>
      </c>
      <c r="G303" t="s">
        <v>20</v>
      </c>
      <c r="H303" t="s">
        <v>18</v>
      </c>
      <c r="I303">
        <v>0</v>
      </c>
      <c r="J303" t="s">
        <v>16</v>
      </c>
      <c r="K303" t="s">
        <v>24</v>
      </c>
      <c r="L303">
        <v>28</v>
      </c>
      <c r="M303" t="str">
        <f t="shared" si="4"/>
        <v>Adolscent</v>
      </c>
      <c r="N303" t="s">
        <v>15</v>
      </c>
    </row>
    <row r="304" spans="1:14" x14ac:dyDescent="0.3">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1">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1">
        <v>160000</v>
      </c>
      <c r="E323">
        <v>0</v>
      </c>
      <c r="F323" t="s">
        <v>31</v>
      </c>
      <c r="G323" t="s">
        <v>28</v>
      </c>
      <c r="H323" t="s">
        <v>18</v>
      </c>
      <c r="I323">
        <v>3</v>
      </c>
      <c r="J323" t="s">
        <v>16</v>
      </c>
      <c r="K323" t="s">
        <v>24</v>
      </c>
      <c r="L323">
        <v>47</v>
      </c>
      <c r="M323" t="str">
        <f t="shared" si="4"/>
        <v>Middle Age</v>
      </c>
      <c r="N323" t="s">
        <v>15</v>
      </c>
    </row>
    <row r="324" spans="1:14" x14ac:dyDescent="0.3">
      <c r="A324">
        <v>16410</v>
      </c>
      <c r="B324" t="s">
        <v>37</v>
      </c>
      <c r="C324" t="s">
        <v>38</v>
      </c>
      <c r="D324" s="1">
        <v>10000</v>
      </c>
      <c r="E324">
        <v>4</v>
      </c>
      <c r="F324" t="s">
        <v>29</v>
      </c>
      <c r="G324" t="s">
        <v>25</v>
      </c>
      <c r="H324" t="s">
        <v>15</v>
      </c>
      <c r="I324">
        <v>2</v>
      </c>
      <c r="J324" t="s">
        <v>16</v>
      </c>
      <c r="K324" t="s">
        <v>17</v>
      </c>
      <c r="L324">
        <v>41</v>
      </c>
      <c r="M324" t="str">
        <f t="shared" si="4"/>
        <v>Middle Age</v>
      </c>
      <c r="N324" t="s">
        <v>15</v>
      </c>
    </row>
    <row r="325" spans="1:14" x14ac:dyDescent="0.3">
      <c r="A325">
        <v>27760</v>
      </c>
      <c r="B325" t="s">
        <v>37</v>
      </c>
      <c r="C325" t="s">
        <v>38</v>
      </c>
      <c r="D325" s="1">
        <v>40000</v>
      </c>
      <c r="E325">
        <v>0</v>
      </c>
      <c r="F325" t="s">
        <v>31</v>
      </c>
      <c r="G325" t="s">
        <v>20</v>
      </c>
      <c r="H325" t="s">
        <v>18</v>
      </c>
      <c r="I325">
        <v>0</v>
      </c>
      <c r="J325" t="s">
        <v>16</v>
      </c>
      <c r="K325" t="s">
        <v>17</v>
      </c>
      <c r="L325">
        <v>37</v>
      </c>
      <c r="M325" t="str">
        <f t="shared" ref="M325:M388" si="5">IF(L325&gt;54,"Old",IF(L325&gt;=31,"Middle Age",IF(L325&lt;31,"Adolscent","Invalid")))</f>
        <v>Middle Age</v>
      </c>
      <c r="N325" t="s">
        <v>15</v>
      </c>
    </row>
    <row r="326" spans="1:14" x14ac:dyDescent="0.3">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1">
        <v>20000</v>
      </c>
      <c r="E328">
        <v>0</v>
      </c>
      <c r="F328" t="s">
        <v>13</v>
      </c>
      <c r="G328" t="s">
        <v>20</v>
      </c>
      <c r="H328" t="s">
        <v>18</v>
      </c>
      <c r="I328">
        <v>0</v>
      </c>
      <c r="J328" t="s">
        <v>16</v>
      </c>
      <c r="K328" t="s">
        <v>24</v>
      </c>
      <c r="L328">
        <v>26</v>
      </c>
      <c r="M328" t="str">
        <f t="shared" si="5"/>
        <v>Adolscent</v>
      </c>
      <c r="N328" t="s">
        <v>15</v>
      </c>
    </row>
    <row r="329" spans="1:14" x14ac:dyDescent="0.3">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1">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1">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1">
        <v>10000</v>
      </c>
      <c r="E333">
        <v>0</v>
      </c>
      <c r="F333" t="s">
        <v>29</v>
      </c>
      <c r="G333" t="s">
        <v>25</v>
      </c>
      <c r="H333" t="s">
        <v>18</v>
      </c>
      <c r="I333">
        <v>2</v>
      </c>
      <c r="J333" t="s">
        <v>16</v>
      </c>
      <c r="K333" t="s">
        <v>17</v>
      </c>
      <c r="L333">
        <v>30</v>
      </c>
      <c r="M333" t="str">
        <f t="shared" si="5"/>
        <v>Adolscent</v>
      </c>
      <c r="N333" t="s">
        <v>18</v>
      </c>
    </row>
    <row r="334" spans="1:14" x14ac:dyDescent="0.3">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1">
        <v>30000</v>
      </c>
      <c r="E342">
        <v>0</v>
      </c>
      <c r="F342" t="s">
        <v>19</v>
      </c>
      <c r="G342" t="s">
        <v>20</v>
      </c>
      <c r="H342" t="s">
        <v>15</v>
      </c>
      <c r="I342">
        <v>1</v>
      </c>
      <c r="J342" t="s">
        <v>22</v>
      </c>
      <c r="K342" t="s">
        <v>17</v>
      </c>
      <c r="L342">
        <v>30</v>
      </c>
      <c r="M342" t="str">
        <f t="shared" si="5"/>
        <v>Adolscent</v>
      </c>
      <c r="N342" t="s">
        <v>18</v>
      </c>
    </row>
    <row r="343" spans="1:14" x14ac:dyDescent="0.3">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1">
        <v>30000</v>
      </c>
      <c r="E351">
        <v>0</v>
      </c>
      <c r="F351" t="s">
        <v>19</v>
      </c>
      <c r="G351" t="s">
        <v>20</v>
      </c>
      <c r="H351" t="s">
        <v>18</v>
      </c>
      <c r="I351">
        <v>1</v>
      </c>
      <c r="J351" t="s">
        <v>16</v>
      </c>
      <c r="K351" t="s">
        <v>17</v>
      </c>
      <c r="L351">
        <v>29</v>
      </c>
      <c r="M351" t="str">
        <f t="shared" si="5"/>
        <v>Adolscent</v>
      </c>
      <c r="N351" t="s">
        <v>15</v>
      </c>
    </row>
    <row r="352" spans="1:14" x14ac:dyDescent="0.3">
      <c r="A352">
        <v>27878</v>
      </c>
      <c r="B352" t="s">
        <v>37</v>
      </c>
      <c r="C352" t="s">
        <v>39</v>
      </c>
      <c r="D352" s="1">
        <v>20000</v>
      </c>
      <c r="E352">
        <v>0</v>
      </c>
      <c r="F352" t="s">
        <v>19</v>
      </c>
      <c r="G352" t="s">
        <v>25</v>
      </c>
      <c r="H352" t="s">
        <v>18</v>
      </c>
      <c r="I352">
        <v>0</v>
      </c>
      <c r="J352" t="s">
        <v>16</v>
      </c>
      <c r="K352" t="s">
        <v>24</v>
      </c>
      <c r="L352">
        <v>28</v>
      </c>
      <c r="M352" t="str">
        <f t="shared" si="5"/>
        <v>Adolscent</v>
      </c>
      <c r="N352" t="s">
        <v>15</v>
      </c>
    </row>
    <row r="353" spans="1:14" x14ac:dyDescent="0.3">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1">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1">
        <v>80000</v>
      </c>
      <c r="E361">
        <v>0</v>
      </c>
      <c r="F361" t="s">
        <v>13</v>
      </c>
      <c r="G361" t="s">
        <v>21</v>
      </c>
      <c r="H361" t="s">
        <v>15</v>
      </c>
      <c r="I361">
        <v>3</v>
      </c>
      <c r="J361" t="s">
        <v>47</v>
      </c>
      <c r="K361" t="s">
        <v>24</v>
      </c>
      <c r="L361">
        <v>30</v>
      </c>
      <c r="M361" t="str">
        <f t="shared" si="5"/>
        <v>Adolscent</v>
      </c>
      <c r="N361" t="s">
        <v>18</v>
      </c>
    </row>
    <row r="362" spans="1:14" x14ac:dyDescent="0.3">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1">
        <v>30000</v>
      </c>
      <c r="E363">
        <v>3</v>
      </c>
      <c r="F363" t="s">
        <v>19</v>
      </c>
      <c r="G363" t="s">
        <v>20</v>
      </c>
      <c r="H363" t="s">
        <v>18</v>
      </c>
      <c r="I363">
        <v>2</v>
      </c>
      <c r="J363" t="s">
        <v>16</v>
      </c>
      <c r="K363" t="s">
        <v>17</v>
      </c>
      <c r="L363">
        <v>27</v>
      </c>
      <c r="M363" t="str">
        <f t="shared" si="5"/>
        <v>Adolscent</v>
      </c>
      <c r="N363" t="s">
        <v>15</v>
      </c>
    </row>
    <row r="364" spans="1:14" x14ac:dyDescent="0.3">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1">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1">
        <v>20000</v>
      </c>
      <c r="E375">
        <v>0</v>
      </c>
      <c r="F375" t="s">
        <v>27</v>
      </c>
      <c r="G375" t="s">
        <v>25</v>
      </c>
      <c r="H375" t="s">
        <v>18</v>
      </c>
      <c r="I375">
        <v>1</v>
      </c>
      <c r="J375" t="s">
        <v>22</v>
      </c>
      <c r="K375" t="s">
        <v>17</v>
      </c>
      <c r="L375">
        <v>30</v>
      </c>
      <c r="M375" t="str">
        <f t="shared" si="5"/>
        <v>Adolscent</v>
      </c>
      <c r="N375" t="s">
        <v>18</v>
      </c>
    </row>
    <row r="376" spans="1:14" x14ac:dyDescent="0.3">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1">
        <v>70000</v>
      </c>
      <c r="E382">
        <v>0</v>
      </c>
      <c r="F382" t="s">
        <v>13</v>
      </c>
      <c r="G382" t="s">
        <v>21</v>
      </c>
      <c r="H382" t="s">
        <v>18</v>
      </c>
      <c r="I382">
        <v>3</v>
      </c>
      <c r="J382" t="s">
        <v>47</v>
      </c>
      <c r="K382" t="s">
        <v>24</v>
      </c>
      <c r="L382">
        <v>30</v>
      </c>
      <c r="M382" t="str">
        <f t="shared" si="5"/>
        <v>Adolscent</v>
      </c>
      <c r="N382" t="s">
        <v>15</v>
      </c>
    </row>
    <row r="383" spans="1:14" x14ac:dyDescent="0.3">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1">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1">
        <v>10000</v>
      </c>
      <c r="E386">
        <v>0</v>
      </c>
      <c r="F386" t="s">
        <v>19</v>
      </c>
      <c r="G386" t="s">
        <v>25</v>
      </c>
      <c r="H386" t="s">
        <v>18</v>
      </c>
      <c r="I386">
        <v>1</v>
      </c>
      <c r="J386" t="s">
        <v>16</v>
      </c>
      <c r="K386" t="s">
        <v>24</v>
      </c>
      <c r="L386">
        <v>28</v>
      </c>
      <c r="M386" t="str">
        <f t="shared" si="5"/>
        <v>Adolscent</v>
      </c>
      <c r="N386" t="s">
        <v>15</v>
      </c>
    </row>
    <row r="387" spans="1:14" x14ac:dyDescent="0.3">
      <c r="A387">
        <v>18018</v>
      </c>
      <c r="B387" t="s">
        <v>37</v>
      </c>
      <c r="C387" t="s">
        <v>39</v>
      </c>
      <c r="D387" s="1">
        <v>30000</v>
      </c>
      <c r="E387">
        <v>3</v>
      </c>
      <c r="F387" t="s">
        <v>19</v>
      </c>
      <c r="G387" t="s">
        <v>20</v>
      </c>
      <c r="H387" t="s">
        <v>15</v>
      </c>
      <c r="I387">
        <v>0</v>
      </c>
      <c r="J387" t="s">
        <v>16</v>
      </c>
      <c r="K387" t="s">
        <v>17</v>
      </c>
      <c r="L387">
        <v>43</v>
      </c>
      <c r="M387" t="str">
        <f t="shared" si="5"/>
        <v>Middle Age</v>
      </c>
      <c r="N387" t="s">
        <v>18</v>
      </c>
    </row>
    <row r="388" spans="1:14" x14ac:dyDescent="0.3">
      <c r="A388">
        <v>28957</v>
      </c>
      <c r="B388" t="s">
        <v>37</v>
      </c>
      <c r="C388" t="s">
        <v>38</v>
      </c>
      <c r="D388" s="1">
        <v>120000</v>
      </c>
      <c r="E388">
        <v>0</v>
      </c>
      <c r="F388" t="s">
        <v>29</v>
      </c>
      <c r="G388" t="s">
        <v>21</v>
      </c>
      <c r="H388" t="s">
        <v>15</v>
      </c>
      <c r="I388">
        <v>4</v>
      </c>
      <c r="J388" t="s">
        <v>47</v>
      </c>
      <c r="K388" t="s">
        <v>24</v>
      </c>
      <c r="L388">
        <v>34</v>
      </c>
      <c r="M388" t="str">
        <f t="shared" si="5"/>
        <v>Middle Age</v>
      </c>
      <c r="N388" t="s">
        <v>15</v>
      </c>
    </row>
    <row r="389" spans="1:14" x14ac:dyDescent="0.3">
      <c r="A389">
        <v>13690</v>
      </c>
      <c r="B389" t="s">
        <v>37</v>
      </c>
      <c r="C389" t="s">
        <v>38</v>
      </c>
      <c r="D389" s="1">
        <v>20000</v>
      </c>
      <c r="E389">
        <v>0</v>
      </c>
      <c r="F389" t="s">
        <v>29</v>
      </c>
      <c r="G389" t="s">
        <v>25</v>
      </c>
      <c r="H389" t="s">
        <v>18</v>
      </c>
      <c r="I389">
        <v>2</v>
      </c>
      <c r="J389" t="s">
        <v>26</v>
      </c>
      <c r="K389" t="s">
        <v>17</v>
      </c>
      <c r="L389">
        <v>34</v>
      </c>
      <c r="M389" t="str">
        <f t="shared" ref="M389:M452" si="6">IF(L389&gt;54,"Old",IF(L389&gt;=31,"Middle Age",IF(L389&lt;31,"Adolscent","Invalid")))</f>
        <v>Middle Age</v>
      </c>
      <c r="N389" t="s">
        <v>15</v>
      </c>
    </row>
    <row r="390" spans="1:14" x14ac:dyDescent="0.3">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1">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1">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1">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1">
        <v>30000</v>
      </c>
      <c r="E428">
        <v>0</v>
      </c>
      <c r="F428" t="s">
        <v>19</v>
      </c>
      <c r="G428" t="s">
        <v>20</v>
      </c>
      <c r="H428" t="s">
        <v>18</v>
      </c>
      <c r="I428">
        <v>1</v>
      </c>
      <c r="J428" t="s">
        <v>22</v>
      </c>
      <c r="K428" t="s">
        <v>17</v>
      </c>
      <c r="L428">
        <v>28</v>
      </c>
      <c r="M428" t="str">
        <f t="shared" si="6"/>
        <v>Adolscent</v>
      </c>
      <c r="N428" t="s">
        <v>18</v>
      </c>
    </row>
    <row r="429" spans="1:14" x14ac:dyDescent="0.3">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1">
        <v>20000</v>
      </c>
      <c r="E433">
        <v>0</v>
      </c>
      <c r="F433" t="s">
        <v>19</v>
      </c>
      <c r="G433" t="s">
        <v>25</v>
      </c>
      <c r="H433" t="s">
        <v>15</v>
      </c>
      <c r="I433">
        <v>0</v>
      </c>
      <c r="J433" t="s">
        <v>16</v>
      </c>
      <c r="K433" t="s">
        <v>24</v>
      </c>
      <c r="L433">
        <v>28</v>
      </c>
      <c r="M433" t="str">
        <f t="shared" si="6"/>
        <v>Adolscent</v>
      </c>
      <c r="N433" t="s">
        <v>15</v>
      </c>
    </row>
    <row r="434" spans="1:14" x14ac:dyDescent="0.3">
      <c r="A434">
        <v>21891</v>
      </c>
      <c r="B434" t="s">
        <v>36</v>
      </c>
      <c r="C434" t="s">
        <v>38</v>
      </c>
      <c r="D434" s="1">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1">
        <v>30000</v>
      </c>
      <c r="E435">
        <v>3</v>
      </c>
      <c r="F435" t="s">
        <v>19</v>
      </c>
      <c r="G435" t="s">
        <v>20</v>
      </c>
      <c r="H435" t="s">
        <v>18</v>
      </c>
      <c r="I435">
        <v>1</v>
      </c>
      <c r="J435" t="s">
        <v>16</v>
      </c>
      <c r="K435" t="s">
        <v>17</v>
      </c>
      <c r="L435">
        <v>26</v>
      </c>
      <c r="M435" t="str">
        <f t="shared" si="6"/>
        <v>Adolscent</v>
      </c>
      <c r="N435" t="s">
        <v>18</v>
      </c>
    </row>
    <row r="436" spans="1:14" x14ac:dyDescent="0.3">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1">
        <v>30000</v>
      </c>
      <c r="E439">
        <v>3</v>
      </c>
      <c r="F439" t="s">
        <v>19</v>
      </c>
      <c r="G439" t="s">
        <v>20</v>
      </c>
      <c r="H439" t="s">
        <v>15</v>
      </c>
      <c r="I439">
        <v>2</v>
      </c>
      <c r="J439" t="s">
        <v>16</v>
      </c>
      <c r="K439" t="s">
        <v>17</v>
      </c>
      <c r="L439">
        <v>28</v>
      </c>
      <c r="M439" t="str">
        <f t="shared" si="6"/>
        <v>Adolscent</v>
      </c>
      <c r="N439" t="s">
        <v>15</v>
      </c>
    </row>
    <row r="440" spans="1:14" x14ac:dyDescent="0.3">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1">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1">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1">
        <v>40000</v>
      </c>
      <c r="E451">
        <v>1</v>
      </c>
      <c r="F451" t="s">
        <v>13</v>
      </c>
      <c r="G451" t="s">
        <v>14</v>
      </c>
      <c r="H451" t="s">
        <v>15</v>
      </c>
      <c r="I451">
        <v>0</v>
      </c>
      <c r="J451" t="s">
        <v>16</v>
      </c>
      <c r="K451" t="s">
        <v>17</v>
      </c>
      <c r="L451">
        <v>42</v>
      </c>
      <c r="M451" t="str">
        <f t="shared" si="6"/>
        <v>Middle Age</v>
      </c>
      <c r="N451" t="s">
        <v>18</v>
      </c>
    </row>
    <row r="452" spans="1:14" x14ac:dyDescent="0.3">
      <c r="A452">
        <v>16559</v>
      </c>
      <c r="B452" t="s">
        <v>37</v>
      </c>
      <c r="C452" t="s">
        <v>38</v>
      </c>
      <c r="D452" s="1">
        <v>10000</v>
      </c>
      <c r="E452">
        <v>2</v>
      </c>
      <c r="F452" t="s">
        <v>27</v>
      </c>
      <c r="G452" t="s">
        <v>25</v>
      </c>
      <c r="H452" t="s">
        <v>15</v>
      </c>
      <c r="I452">
        <v>0</v>
      </c>
      <c r="J452" t="s">
        <v>16</v>
      </c>
      <c r="K452" t="s">
        <v>17</v>
      </c>
      <c r="L452">
        <v>36</v>
      </c>
      <c r="M452" t="str">
        <f t="shared" si="6"/>
        <v>Middle Age</v>
      </c>
      <c r="N452" t="s">
        <v>15</v>
      </c>
    </row>
    <row r="453" spans="1:14" x14ac:dyDescent="0.3">
      <c r="A453">
        <v>11585</v>
      </c>
      <c r="B453" t="s">
        <v>36</v>
      </c>
      <c r="C453" t="s">
        <v>38</v>
      </c>
      <c r="D453" s="1">
        <v>40000</v>
      </c>
      <c r="E453">
        <v>1</v>
      </c>
      <c r="F453" t="s">
        <v>13</v>
      </c>
      <c r="G453" t="s">
        <v>14</v>
      </c>
      <c r="H453" t="s">
        <v>15</v>
      </c>
      <c r="I453">
        <v>0</v>
      </c>
      <c r="J453" t="s">
        <v>16</v>
      </c>
      <c r="K453" t="s">
        <v>17</v>
      </c>
      <c r="L453">
        <v>41</v>
      </c>
      <c r="M453" t="str">
        <f t="shared" ref="M453:M516" si="7">IF(L453&gt;54,"Old",IF(L453&gt;=31,"Middle Age",IF(L453&lt;31,"Adolscent","Invalid")))</f>
        <v>Middle Age</v>
      </c>
      <c r="N453" t="s">
        <v>18</v>
      </c>
    </row>
    <row r="454" spans="1:14" x14ac:dyDescent="0.3">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1">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1">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1">
        <v>30000</v>
      </c>
      <c r="E472">
        <v>0</v>
      </c>
      <c r="F472" t="s">
        <v>27</v>
      </c>
      <c r="G472" t="s">
        <v>25</v>
      </c>
      <c r="H472" t="s">
        <v>18</v>
      </c>
      <c r="I472">
        <v>1</v>
      </c>
      <c r="J472" t="s">
        <v>26</v>
      </c>
      <c r="K472" t="s">
        <v>17</v>
      </c>
      <c r="L472">
        <v>28</v>
      </c>
      <c r="M472" t="str">
        <f t="shared" si="7"/>
        <v>Adolscent</v>
      </c>
      <c r="N472" t="s">
        <v>18</v>
      </c>
    </row>
    <row r="473" spans="1:14" x14ac:dyDescent="0.3">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1">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1">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1">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1">
        <v>40000</v>
      </c>
      <c r="E504">
        <v>0</v>
      </c>
      <c r="F504" t="s">
        <v>19</v>
      </c>
      <c r="G504" t="s">
        <v>14</v>
      </c>
      <c r="H504" t="s">
        <v>15</v>
      </c>
      <c r="I504">
        <v>1</v>
      </c>
      <c r="J504" t="s">
        <v>23</v>
      </c>
      <c r="K504" t="s">
        <v>32</v>
      </c>
      <c r="L504">
        <v>29</v>
      </c>
      <c r="M504" t="str">
        <f t="shared" si="7"/>
        <v>Adolscent</v>
      </c>
      <c r="N504" t="s">
        <v>18</v>
      </c>
    </row>
    <row r="505" spans="1:14" x14ac:dyDescent="0.3">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1">
        <v>60000</v>
      </c>
      <c r="E510">
        <v>0</v>
      </c>
      <c r="F510" t="s">
        <v>19</v>
      </c>
      <c r="G510" t="s">
        <v>14</v>
      </c>
      <c r="H510" t="s">
        <v>18</v>
      </c>
      <c r="I510">
        <v>2</v>
      </c>
      <c r="J510" t="s">
        <v>26</v>
      </c>
      <c r="K510" t="s">
        <v>32</v>
      </c>
      <c r="L510">
        <v>29</v>
      </c>
      <c r="M510" t="str">
        <f t="shared" si="7"/>
        <v>Adolscent</v>
      </c>
      <c r="N510" t="s">
        <v>18</v>
      </c>
    </row>
    <row r="511" spans="1:14" x14ac:dyDescent="0.3">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1">
        <v>60000</v>
      </c>
      <c r="E515">
        <v>4</v>
      </c>
      <c r="F515" t="s">
        <v>31</v>
      </c>
      <c r="G515" t="s">
        <v>28</v>
      </c>
      <c r="H515" t="s">
        <v>15</v>
      </c>
      <c r="I515">
        <v>2</v>
      </c>
      <c r="J515" t="s">
        <v>47</v>
      </c>
      <c r="K515" t="s">
        <v>32</v>
      </c>
      <c r="L515">
        <v>61</v>
      </c>
      <c r="M515" t="str">
        <f t="shared" si="7"/>
        <v>Old</v>
      </c>
      <c r="N515" t="s">
        <v>15</v>
      </c>
    </row>
    <row r="516" spans="1:14" x14ac:dyDescent="0.3">
      <c r="A516">
        <v>19399</v>
      </c>
      <c r="B516" t="s">
        <v>37</v>
      </c>
      <c r="C516" t="s">
        <v>39</v>
      </c>
      <c r="D516" s="1">
        <v>40000</v>
      </c>
      <c r="E516">
        <v>0</v>
      </c>
      <c r="F516" t="s">
        <v>13</v>
      </c>
      <c r="G516" t="s">
        <v>21</v>
      </c>
      <c r="H516" t="s">
        <v>18</v>
      </c>
      <c r="I516">
        <v>1</v>
      </c>
      <c r="J516" t="s">
        <v>22</v>
      </c>
      <c r="K516" t="s">
        <v>32</v>
      </c>
      <c r="L516">
        <v>45</v>
      </c>
      <c r="M516" t="str">
        <f t="shared" si="7"/>
        <v>Middle Age</v>
      </c>
      <c r="N516" t="s">
        <v>18</v>
      </c>
    </row>
    <row r="517" spans="1:14" x14ac:dyDescent="0.3">
      <c r="A517">
        <v>16154</v>
      </c>
      <c r="B517" t="s">
        <v>36</v>
      </c>
      <c r="C517" t="s">
        <v>38</v>
      </c>
      <c r="D517" s="1">
        <v>70000</v>
      </c>
      <c r="E517">
        <v>5</v>
      </c>
      <c r="F517" t="s">
        <v>13</v>
      </c>
      <c r="G517" t="s">
        <v>21</v>
      </c>
      <c r="H517" t="s">
        <v>15</v>
      </c>
      <c r="I517">
        <v>2</v>
      </c>
      <c r="J517" t="s">
        <v>22</v>
      </c>
      <c r="K517" t="s">
        <v>32</v>
      </c>
      <c r="L517">
        <v>47</v>
      </c>
      <c r="M517" t="str">
        <f t="shared" ref="M517:M580" si="8">IF(L517&gt;54,"Old",IF(L517&gt;=31,"Middle Age",IF(L517&lt;31,"Adolscent","Invalid")))</f>
        <v>Middle Age</v>
      </c>
      <c r="N517" t="s">
        <v>18</v>
      </c>
    </row>
    <row r="518" spans="1:14" x14ac:dyDescent="0.3">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1">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1">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1">
        <v>30000</v>
      </c>
      <c r="E530">
        <v>0</v>
      </c>
      <c r="F530" t="s">
        <v>19</v>
      </c>
      <c r="G530" t="s">
        <v>14</v>
      </c>
      <c r="H530" t="s">
        <v>15</v>
      </c>
      <c r="I530">
        <v>1</v>
      </c>
      <c r="J530" t="s">
        <v>23</v>
      </c>
      <c r="K530" t="s">
        <v>32</v>
      </c>
      <c r="L530">
        <v>28</v>
      </c>
      <c r="M530" t="str">
        <f t="shared" si="8"/>
        <v>Adolscent</v>
      </c>
      <c r="N530" t="s">
        <v>18</v>
      </c>
    </row>
    <row r="531" spans="1:14" x14ac:dyDescent="0.3">
      <c r="A531">
        <v>13233</v>
      </c>
      <c r="B531" t="s">
        <v>36</v>
      </c>
      <c r="C531" t="s">
        <v>39</v>
      </c>
      <c r="D531" s="1">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1">
        <v>60000</v>
      </c>
      <c r="E532">
        <v>0</v>
      </c>
      <c r="F532" t="s">
        <v>19</v>
      </c>
      <c r="G532" t="s">
        <v>14</v>
      </c>
      <c r="H532" t="s">
        <v>15</v>
      </c>
      <c r="I532">
        <v>1</v>
      </c>
      <c r="J532" t="s">
        <v>23</v>
      </c>
      <c r="K532" t="s">
        <v>32</v>
      </c>
      <c r="L532">
        <v>27</v>
      </c>
      <c r="M532" t="str">
        <f t="shared" si="8"/>
        <v>Adolscent</v>
      </c>
      <c r="N532" t="s">
        <v>15</v>
      </c>
    </row>
    <row r="533" spans="1:14" x14ac:dyDescent="0.3">
      <c r="A533">
        <v>14092</v>
      </c>
      <c r="B533" t="s">
        <v>37</v>
      </c>
      <c r="C533" t="s">
        <v>39</v>
      </c>
      <c r="D533" s="1">
        <v>30000</v>
      </c>
      <c r="E533">
        <v>0</v>
      </c>
      <c r="F533" t="s">
        <v>29</v>
      </c>
      <c r="G533" t="s">
        <v>20</v>
      </c>
      <c r="H533" t="s">
        <v>15</v>
      </c>
      <c r="I533">
        <v>2</v>
      </c>
      <c r="J533" t="s">
        <v>23</v>
      </c>
      <c r="K533" t="s">
        <v>32</v>
      </c>
      <c r="L533">
        <v>28</v>
      </c>
      <c r="M533" t="str">
        <f t="shared" si="8"/>
        <v>Adolscent</v>
      </c>
      <c r="N533" t="s">
        <v>18</v>
      </c>
    </row>
    <row r="534" spans="1:14" x14ac:dyDescent="0.3">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1">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1">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1">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1">
        <v>40000</v>
      </c>
      <c r="E544">
        <v>0</v>
      </c>
      <c r="F544" t="s">
        <v>27</v>
      </c>
      <c r="G544" t="s">
        <v>14</v>
      </c>
      <c r="H544" t="s">
        <v>15</v>
      </c>
      <c r="I544">
        <v>2</v>
      </c>
      <c r="J544" t="s">
        <v>23</v>
      </c>
      <c r="K544" t="s">
        <v>32</v>
      </c>
      <c r="L544">
        <v>29</v>
      </c>
      <c r="M544" t="str">
        <f t="shared" si="8"/>
        <v>Adolscent</v>
      </c>
      <c r="N544" t="s">
        <v>18</v>
      </c>
    </row>
    <row r="545" spans="1:14" x14ac:dyDescent="0.3">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1">
        <v>60000</v>
      </c>
      <c r="E547">
        <v>0</v>
      </c>
      <c r="F547" t="s">
        <v>19</v>
      </c>
      <c r="G547" t="s">
        <v>14</v>
      </c>
      <c r="H547" t="s">
        <v>18</v>
      </c>
      <c r="I547">
        <v>2</v>
      </c>
      <c r="J547" t="s">
        <v>26</v>
      </c>
      <c r="K547" t="s">
        <v>32</v>
      </c>
      <c r="L547">
        <v>29</v>
      </c>
      <c r="M547" t="str">
        <f t="shared" si="8"/>
        <v>Adolscent</v>
      </c>
      <c r="N547" t="s">
        <v>18</v>
      </c>
    </row>
    <row r="548" spans="1:14" x14ac:dyDescent="0.3">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1">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1">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1">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1">
        <v>30000</v>
      </c>
      <c r="E565">
        <v>0</v>
      </c>
      <c r="F565" t="s">
        <v>19</v>
      </c>
      <c r="G565" t="s">
        <v>14</v>
      </c>
      <c r="H565" t="s">
        <v>15</v>
      </c>
      <c r="I565">
        <v>1</v>
      </c>
      <c r="J565" t="s">
        <v>23</v>
      </c>
      <c r="K565" t="s">
        <v>32</v>
      </c>
      <c r="L565">
        <v>28</v>
      </c>
      <c r="M565" t="str">
        <f t="shared" si="8"/>
        <v>Adolscent</v>
      </c>
      <c r="N565" t="s">
        <v>18</v>
      </c>
    </row>
    <row r="566" spans="1:14" x14ac:dyDescent="0.3">
      <c r="A566">
        <v>17369</v>
      </c>
      <c r="B566" t="s">
        <v>37</v>
      </c>
      <c r="C566" t="s">
        <v>39</v>
      </c>
      <c r="D566" s="1">
        <v>30000</v>
      </c>
      <c r="E566">
        <v>0</v>
      </c>
      <c r="F566" t="s">
        <v>19</v>
      </c>
      <c r="G566" t="s">
        <v>14</v>
      </c>
      <c r="H566" t="s">
        <v>15</v>
      </c>
      <c r="I566">
        <v>1</v>
      </c>
      <c r="J566" t="s">
        <v>23</v>
      </c>
      <c r="K566" t="s">
        <v>32</v>
      </c>
      <c r="L566">
        <v>27</v>
      </c>
      <c r="M566" t="str">
        <f t="shared" si="8"/>
        <v>Adolscent</v>
      </c>
      <c r="N566" t="s">
        <v>18</v>
      </c>
    </row>
    <row r="567" spans="1:14" x14ac:dyDescent="0.3">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1">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1">
        <v>30000</v>
      </c>
      <c r="E574">
        <v>0</v>
      </c>
      <c r="F574" t="s">
        <v>27</v>
      </c>
      <c r="G574" t="s">
        <v>14</v>
      </c>
      <c r="H574" t="s">
        <v>15</v>
      </c>
      <c r="I574">
        <v>2</v>
      </c>
      <c r="J574" t="s">
        <v>23</v>
      </c>
      <c r="K574" t="s">
        <v>32</v>
      </c>
      <c r="L574">
        <v>30</v>
      </c>
      <c r="M574" t="str">
        <f t="shared" si="8"/>
        <v>Adolscent</v>
      </c>
      <c r="N574" t="s">
        <v>18</v>
      </c>
    </row>
    <row r="575" spans="1:14" x14ac:dyDescent="0.3">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1">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1">
        <v>120000</v>
      </c>
      <c r="E579">
        <v>1</v>
      </c>
      <c r="F579" t="s">
        <v>13</v>
      </c>
      <c r="G579" t="s">
        <v>28</v>
      </c>
      <c r="H579" t="s">
        <v>15</v>
      </c>
      <c r="I579">
        <v>4</v>
      </c>
      <c r="J579" t="s">
        <v>16</v>
      </c>
      <c r="K579" t="s">
        <v>32</v>
      </c>
      <c r="L579">
        <v>38</v>
      </c>
      <c r="M579" t="str">
        <f t="shared" si="8"/>
        <v>Middle Age</v>
      </c>
      <c r="N579" t="s">
        <v>18</v>
      </c>
    </row>
    <row r="580" spans="1:14" x14ac:dyDescent="0.3">
      <c r="A580">
        <v>15313</v>
      </c>
      <c r="B580" t="s">
        <v>36</v>
      </c>
      <c r="C580" t="s">
        <v>39</v>
      </c>
      <c r="D580" s="1">
        <v>60000</v>
      </c>
      <c r="E580">
        <v>4</v>
      </c>
      <c r="F580" t="s">
        <v>13</v>
      </c>
      <c r="G580" t="s">
        <v>28</v>
      </c>
      <c r="H580" t="s">
        <v>15</v>
      </c>
      <c r="I580">
        <v>2</v>
      </c>
      <c r="J580" t="s">
        <v>22</v>
      </c>
      <c r="K580" t="s">
        <v>32</v>
      </c>
      <c r="L580">
        <v>59</v>
      </c>
      <c r="M580" t="str">
        <f t="shared" si="8"/>
        <v>Old</v>
      </c>
      <c r="N580" t="s">
        <v>18</v>
      </c>
    </row>
    <row r="581" spans="1:14" x14ac:dyDescent="0.3">
      <c r="A581">
        <v>25329</v>
      </c>
      <c r="B581" t="s">
        <v>37</v>
      </c>
      <c r="C581" t="s">
        <v>38</v>
      </c>
      <c r="D581" s="1">
        <v>40000</v>
      </c>
      <c r="E581">
        <v>3</v>
      </c>
      <c r="F581" t="s">
        <v>19</v>
      </c>
      <c r="G581" t="s">
        <v>20</v>
      </c>
      <c r="H581" t="s">
        <v>18</v>
      </c>
      <c r="I581">
        <v>2</v>
      </c>
      <c r="J581" t="s">
        <v>16</v>
      </c>
      <c r="K581" t="s">
        <v>32</v>
      </c>
      <c r="L581">
        <v>32</v>
      </c>
      <c r="M581" t="str">
        <f t="shared" ref="M581:M644" si="9">IF(L581&gt;54,"Old",IF(L581&gt;=31,"Middle Age",IF(L581&lt;31,"Adolscent","Invalid")))</f>
        <v>Middle Age</v>
      </c>
      <c r="N581" t="s">
        <v>18</v>
      </c>
    </row>
    <row r="582" spans="1:14" x14ac:dyDescent="0.3">
      <c r="A582">
        <v>20380</v>
      </c>
      <c r="B582" t="s">
        <v>36</v>
      </c>
      <c r="C582" t="s">
        <v>38</v>
      </c>
      <c r="D582" s="1">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1">
        <v>40000</v>
      </c>
      <c r="E583">
        <v>0</v>
      </c>
      <c r="F583" t="s">
        <v>19</v>
      </c>
      <c r="G583" t="s">
        <v>14</v>
      </c>
      <c r="H583" t="s">
        <v>15</v>
      </c>
      <c r="I583">
        <v>1</v>
      </c>
      <c r="J583" t="s">
        <v>23</v>
      </c>
      <c r="K583" t="s">
        <v>32</v>
      </c>
      <c r="L583">
        <v>28</v>
      </c>
      <c r="M583" t="str">
        <f t="shared" si="9"/>
        <v>Adolscent</v>
      </c>
      <c r="N583" t="s">
        <v>18</v>
      </c>
    </row>
    <row r="584" spans="1:14" x14ac:dyDescent="0.3">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1">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1">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1">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1">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1">
        <v>40000</v>
      </c>
      <c r="E606">
        <v>0</v>
      </c>
      <c r="F606" t="s">
        <v>27</v>
      </c>
      <c r="G606" t="s">
        <v>14</v>
      </c>
      <c r="H606" t="s">
        <v>15</v>
      </c>
      <c r="I606">
        <v>2</v>
      </c>
      <c r="J606" t="s">
        <v>23</v>
      </c>
      <c r="K606" t="s">
        <v>32</v>
      </c>
      <c r="L606">
        <v>27</v>
      </c>
      <c r="M606" t="str">
        <f t="shared" si="9"/>
        <v>Adolscent</v>
      </c>
      <c r="N606" t="s">
        <v>18</v>
      </c>
    </row>
    <row r="607" spans="1:14" x14ac:dyDescent="0.3">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1">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1">
        <v>30000</v>
      </c>
      <c r="E614">
        <v>0</v>
      </c>
      <c r="F614" t="s">
        <v>29</v>
      </c>
      <c r="G614" t="s">
        <v>20</v>
      </c>
      <c r="H614" t="s">
        <v>15</v>
      </c>
      <c r="I614">
        <v>2</v>
      </c>
      <c r="J614" t="s">
        <v>23</v>
      </c>
      <c r="K614" t="s">
        <v>32</v>
      </c>
      <c r="L614">
        <v>27</v>
      </c>
      <c r="M614" t="str">
        <f t="shared" si="9"/>
        <v>Adolscent</v>
      </c>
      <c r="N614" t="s">
        <v>18</v>
      </c>
    </row>
    <row r="615" spans="1:14" x14ac:dyDescent="0.3">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1">
        <v>40000</v>
      </c>
      <c r="E621">
        <v>0</v>
      </c>
      <c r="F621" t="s">
        <v>27</v>
      </c>
      <c r="G621" t="s">
        <v>14</v>
      </c>
      <c r="H621" t="s">
        <v>15</v>
      </c>
      <c r="I621">
        <v>1</v>
      </c>
      <c r="J621" t="s">
        <v>23</v>
      </c>
      <c r="K621" t="s">
        <v>32</v>
      </c>
      <c r="L621">
        <v>30</v>
      </c>
      <c r="M621" t="str">
        <f t="shared" si="9"/>
        <v>Adolscent</v>
      </c>
      <c r="N621" t="s">
        <v>18</v>
      </c>
    </row>
    <row r="622" spans="1:14" x14ac:dyDescent="0.3">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1">
        <v>70000</v>
      </c>
      <c r="E626">
        <v>0</v>
      </c>
      <c r="F626" t="s">
        <v>19</v>
      </c>
      <c r="G626" t="s">
        <v>14</v>
      </c>
      <c r="H626" t="s">
        <v>18</v>
      </c>
      <c r="I626">
        <v>2</v>
      </c>
      <c r="J626" t="s">
        <v>16</v>
      </c>
      <c r="K626" t="s">
        <v>32</v>
      </c>
      <c r="L626">
        <v>27</v>
      </c>
      <c r="M626" t="str">
        <f t="shared" si="9"/>
        <v>Adolscent</v>
      </c>
      <c r="N626" t="s">
        <v>15</v>
      </c>
    </row>
    <row r="627" spans="1:14" x14ac:dyDescent="0.3">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1">
        <v>60000</v>
      </c>
      <c r="E628">
        <v>0</v>
      </c>
      <c r="F628" t="s">
        <v>19</v>
      </c>
      <c r="G628" t="s">
        <v>14</v>
      </c>
      <c r="H628" t="s">
        <v>15</v>
      </c>
      <c r="I628">
        <v>2</v>
      </c>
      <c r="J628" t="s">
        <v>23</v>
      </c>
      <c r="K628" t="s">
        <v>32</v>
      </c>
      <c r="L628">
        <v>29</v>
      </c>
      <c r="M628" t="str">
        <f t="shared" si="9"/>
        <v>Adolscent</v>
      </c>
      <c r="N628" t="s">
        <v>18</v>
      </c>
    </row>
    <row r="629" spans="1:14" x14ac:dyDescent="0.3">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1">
        <v>40000</v>
      </c>
      <c r="E632">
        <v>0</v>
      </c>
      <c r="F632" t="s">
        <v>27</v>
      </c>
      <c r="G632" t="s">
        <v>14</v>
      </c>
      <c r="H632" t="s">
        <v>18</v>
      </c>
      <c r="I632">
        <v>2</v>
      </c>
      <c r="J632" t="s">
        <v>26</v>
      </c>
      <c r="K632" t="s">
        <v>32</v>
      </c>
      <c r="L632">
        <v>30</v>
      </c>
      <c r="M632" t="str">
        <f t="shared" si="9"/>
        <v>Adolscent</v>
      </c>
      <c r="N632" t="s">
        <v>18</v>
      </c>
    </row>
    <row r="633" spans="1:14" x14ac:dyDescent="0.3">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1">
        <v>40000</v>
      </c>
      <c r="E639">
        <v>0</v>
      </c>
      <c r="F639" t="s">
        <v>27</v>
      </c>
      <c r="G639" t="s">
        <v>14</v>
      </c>
      <c r="H639" t="s">
        <v>18</v>
      </c>
      <c r="I639">
        <v>2</v>
      </c>
      <c r="J639" t="s">
        <v>26</v>
      </c>
      <c r="K639" t="s">
        <v>32</v>
      </c>
      <c r="L639">
        <v>30</v>
      </c>
      <c r="M639" t="str">
        <f t="shared" si="9"/>
        <v>Adolscent</v>
      </c>
      <c r="N639" t="s">
        <v>18</v>
      </c>
    </row>
    <row r="640" spans="1:14" x14ac:dyDescent="0.3">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1">
        <v>50000</v>
      </c>
      <c r="E643">
        <v>4</v>
      </c>
      <c r="F643" t="s">
        <v>13</v>
      </c>
      <c r="G643" t="s">
        <v>28</v>
      </c>
      <c r="H643" t="s">
        <v>15</v>
      </c>
      <c r="I643">
        <v>2</v>
      </c>
      <c r="J643" t="s">
        <v>47</v>
      </c>
      <c r="K643" t="s">
        <v>32</v>
      </c>
      <c r="L643">
        <v>64</v>
      </c>
      <c r="M643" t="str">
        <f t="shared" si="9"/>
        <v>Old</v>
      </c>
      <c r="N643" t="s">
        <v>18</v>
      </c>
    </row>
    <row r="644" spans="1:14" x14ac:dyDescent="0.3">
      <c r="A644">
        <v>21741</v>
      </c>
      <c r="B644" t="s">
        <v>36</v>
      </c>
      <c r="C644" t="s">
        <v>38</v>
      </c>
      <c r="D644" s="1">
        <v>70000</v>
      </c>
      <c r="E644">
        <v>3</v>
      </c>
      <c r="F644" t="s">
        <v>19</v>
      </c>
      <c r="G644" t="s">
        <v>21</v>
      </c>
      <c r="H644" t="s">
        <v>15</v>
      </c>
      <c r="I644">
        <v>2</v>
      </c>
      <c r="J644" t="s">
        <v>23</v>
      </c>
      <c r="K644" t="s">
        <v>32</v>
      </c>
      <c r="L644">
        <v>50</v>
      </c>
      <c r="M644" t="str">
        <f t="shared" si="9"/>
        <v>Middle Age</v>
      </c>
      <c r="N644" t="s">
        <v>15</v>
      </c>
    </row>
    <row r="645" spans="1:14" x14ac:dyDescent="0.3">
      <c r="A645">
        <v>14572</v>
      </c>
      <c r="B645" t="s">
        <v>36</v>
      </c>
      <c r="C645" t="s">
        <v>38</v>
      </c>
      <c r="D645" s="1">
        <v>70000</v>
      </c>
      <c r="E645">
        <v>3</v>
      </c>
      <c r="F645" t="s">
        <v>31</v>
      </c>
      <c r="G645" t="s">
        <v>21</v>
      </c>
      <c r="H645" t="s">
        <v>15</v>
      </c>
      <c r="I645">
        <v>0</v>
      </c>
      <c r="J645" t="s">
        <v>22</v>
      </c>
      <c r="K645" t="s">
        <v>32</v>
      </c>
      <c r="L645">
        <v>35</v>
      </c>
      <c r="M645" t="str">
        <f t="shared" ref="M645:M708" si="10">IF(L645&gt;54,"Old",IF(L645&gt;=31,"Middle Age",IF(L645&lt;31,"Adolscent","Invalid")))</f>
        <v>Middle Age</v>
      </c>
      <c r="N645" t="s">
        <v>15</v>
      </c>
    </row>
    <row r="646" spans="1:14" x14ac:dyDescent="0.3">
      <c r="A646">
        <v>23368</v>
      </c>
      <c r="B646" t="s">
        <v>36</v>
      </c>
      <c r="C646" t="s">
        <v>38</v>
      </c>
      <c r="D646" s="1">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1">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1">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1">
        <v>40000</v>
      </c>
      <c r="E663">
        <v>0</v>
      </c>
      <c r="F663" t="s">
        <v>27</v>
      </c>
      <c r="G663" t="s">
        <v>14</v>
      </c>
      <c r="H663" t="s">
        <v>18</v>
      </c>
      <c r="I663">
        <v>2</v>
      </c>
      <c r="J663" t="s">
        <v>16</v>
      </c>
      <c r="K663" t="s">
        <v>32</v>
      </c>
      <c r="L663">
        <v>28</v>
      </c>
      <c r="M663" t="str">
        <f t="shared" si="10"/>
        <v>Adolscent</v>
      </c>
      <c r="N663" t="s">
        <v>15</v>
      </c>
    </row>
    <row r="664" spans="1:14" x14ac:dyDescent="0.3">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1">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1">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1">
        <v>40000</v>
      </c>
      <c r="E674">
        <v>0</v>
      </c>
      <c r="F674" t="s">
        <v>27</v>
      </c>
      <c r="G674" t="s">
        <v>14</v>
      </c>
      <c r="H674" t="s">
        <v>15</v>
      </c>
      <c r="I674">
        <v>2</v>
      </c>
      <c r="J674" t="s">
        <v>23</v>
      </c>
      <c r="K674" t="s">
        <v>32</v>
      </c>
      <c r="L674">
        <v>30</v>
      </c>
      <c r="M674" t="str">
        <f t="shared" si="10"/>
        <v>Adolscent</v>
      </c>
      <c r="N674" t="s">
        <v>18</v>
      </c>
    </row>
    <row r="675" spans="1:14" x14ac:dyDescent="0.3">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1">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1">
        <v>30000</v>
      </c>
      <c r="E689">
        <v>0</v>
      </c>
      <c r="F689" t="s">
        <v>19</v>
      </c>
      <c r="G689" t="s">
        <v>14</v>
      </c>
      <c r="H689" t="s">
        <v>15</v>
      </c>
      <c r="I689">
        <v>2</v>
      </c>
      <c r="J689" t="s">
        <v>23</v>
      </c>
      <c r="K689" t="s">
        <v>32</v>
      </c>
      <c r="L689">
        <v>30</v>
      </c>
      <c r="M689" t="str">
        <f t="shared" si="10"/>
        <v>Adolscent</v>
      </c>
      <c r="N689" t="s">
        <v>18</v>
      </c>
    </row>
    <row r="690" spans="1:14" x14ac:dyDescent="0.3">
      <c r="A690">
        <v>11699</v>
      </c>
      <c r="B690" t="s">
        <v>37</v>
      </c>
      <c r="C690" t="s">
        <v>39</v>
      </c>
      <c r="D690" s="1">
        <v>60000</v>
      </c>
      <c r="E690">
        <v>0</v>
      </c>
      <c r="F690" t="s">
        <v>13</v>
      </c>
      <c r="G690" t="s">
        <v>14</v>
      </c>
      <c r="H690" t="s">
        <v>18</v>
      </c>
      <c r="I690">
        <v>2</v>
      </c>
      <c r="J690" t="s">
        <v>16</v>
      </c>
      <c r="K690" t="s">
        <v>32</v>
      </c>
      <c r="L690">
        <v>30</v>
      </c>
      <c r="M690" t="str">
        <f t="shared" si="10"/>
        <v>Adolscent</v>
      </c>
      <c r="N690" t="s">
        <v>18</v>
      </c>
    </row>
    <row r="691" spans="1:14" x14ac:dyDescent="0.3">
      <c r="A691">
        <v>16725</v>
      </c>
      <c r="B691" t="s">
        <v>36</v>
      </c>
      <c r="C691" t="s">
        <v>39</v>
      </c>
      <c r="D691" s="1">
        <v>30000</v>
      </c>
      <c r="E691">
        <v>0</v>
      </c>
      <c r="F691" t="s">
        <v>27</v>
      </c>
      <c r="G691" t="s">
        <v>14</v>
      </c>
      <c r="H691" t="s">
        <v>15</v>
      </c>
      <c r="I691">
        <v>2</v>
      </c>
      <c r="J691" t="s">
        <v>23</v>
      </c>
      <c r="K691" t="s">
        <v>32</v>
      </c>
      <c r="L691">
        <v>26</v>
      </c>
      <c r="M691" t="str">
        <f t="shared" si="10"/>
        <v>Adolscent</v>
      </c>
      <c r="N691" t="s">
        <v>18</v>
      </c>
    </row>
    <row r="692" spans="1:14" x14ac:dyDescent="0.3">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1">
        <v>60000</v>
      </c>
      <c r="E698">
        <v>0</v>
      </c>
      <c r="F698" t="s">
        <v>19</v>
      </c>
      <c r="G698" t="s">
        <v>21</v>
      </c>
      <c r="H698" t="s">
        <v>18</v>
      </c>
      <c r="I698">
        <v>2</v>
      </c>
      <c r="J698" t="s">
        <v>26</v>
      </c>
      <c r="K698" t="s">
        <v>32</v>
      </c>
      <c r="L698">
        <v>30</v>
      </c>
      <c r="M698" t="str">
        <f t="shared" si="10"/>
        <v>Adolscent</v>
      </c>
      <c r="N698" t="s">
        <v>18</v>
      </c>
    </row>
    <row r="699" spans="1:14" x14ac:dyDescent="0.3">
      <c r="A699">
        <v>14090</v>
      </c>
      <c r="B699" t="s">
        <v>36</v>
      </c>
      <c r="C699" t="s">
        <v>38</v>
      </c>
      <c r="D699" s="1">
        <v>30000</v>
      </c>
      <c r="E699">
        <v>0</v>
      </c>
      <c r="F699" t="s">
        <v>29</v>
      </c>
      <c r="G699" t="s">
        <v>20</v>
      </c>
      <c r="H699" t="s">
        <v>18</v>
      </c>
      <c r="I699">
        <v>2</v>
      </c>
      <c r="J699" t="s">
        <v>16</v>
      </c>
      <c r="K699" t="s">
        <v>32</v>
      </c>
      <c r="L699">
        <v>28</v>
      </c>
      <c r="M699" t="str">
        <f t="shared" si="10"/>
        <v>Adolscent</v>
      </c>
      <c r="N699" t="s">
        <v>18</v>
      </c>
    </row>
    <row r="700" spans="1:14" x14ac:dyDescent="0.3">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1">
        <v>30000</v>
      </c>
      <c r="E703">
        <v>0</v>
      </c>
      <c r="F703" t="s">
        <v>27</v>
      </c>
      <c r="G703" t="s">
        <v>14</v>
      </c>
      <c r="H703" t="s">
        <v>15</v>
      </c>
      <c r="I703">
        <v>2</v>
      </c>
      <c r="J703" t="s">
        <v>23</v>
      </c>
      <c r="K703" t="s">
        <v>32</v>
      </c>
      <c r="L703">
        <v>26</v>
      </c>
      <c r="M703" t="str">
        <f t="shared" si="10"/>
        <v>Adolscent</v>
      </c>
      <c r="N703" t="s">
        <v>18</v>
      </c>
    </row>
    <row r="704" spans="1:14" x14ac:dyDescent="0.3">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1">
        <v>70000</v>
      </c>
      <c r="E707">
        <v>4</v>
      </c>
      <c r="F707" t="s">
        <v>13</v>
      </c>
      <c r="G707" t="s">
        <v>28</v>
      </c>
      <c r="H707" t="s">
        <v>15</v>
      </c>
      <c r="I707">
        <v>1</v>
      </c>
      <c r="J707" t="s">
        <v>47</v>
      </c>
      <c r="K707" t="s">
        <v>32</v>
      </c>
      <c r="L707">
        <v>59</v>
      </c>
      <c r="M707" t="str">
        <f t="shared" si="10"/>
        <v>Old</v>
      </c>
      <c r="N707" t="s">
        <v>18</v>
      </c>
    </row>
    <row r="708" spans="1:14" x14ac:dyDescent="0.3">
      <c r="A708">
        <v>20296</v>
      </c>
      <c r="B708" t="s">
        <v>37</v>
      </c>
      <c r="C708" t="s">
        <v>38</v>
      </c>
      <c r="D708" s="1">
        <v>60000</v>
      </c>
      <c r="E708">
        <v>0</v>
      </c>
      <c r="F708" t="s">
        <v>19</v>
      </c>
      <c r="G708" t="s">
        <v>14</v>
      </c>
      <c r="H708" t="s">
        <v>18</v>
      </c>
      <c r="I708">
        <v>1</v>
      </c>
      <c r="J708" t="s">
        <v>26</v>
      </c>
      <c r="K708" t="s">
        <v>32</v>
      </c>
      <c r="L708">
        <v>33</v>
      </c>
      <c r="M708" t="str">
        <f t="shared" si="10"/>
        <v>Middle Age</v>
      </c>
      <c r="N708" t="s">
        <v>15</v>
      </c>
    </row>
    <row r="709" spans="1:14" x14ac:dyDescent="0.3">
      <c r="A709">
        <v>17546</v>
      </c>
      <c r="B709" t="s">
        <v>36</v>
      </c>
      <c r="C709" t="s">
        <v>38</v>
      </c>
      <c r="D709" s="1">
        <v>70000</v>
      </c>
      <c r="E709">
        <v>1</v>
      </c>
      <c r="F709" t="s">
        <v>19</v>
      </c>
      <c r="G709" t="s">
        <v>14</v>
      </c>
      <c r="H709" t="s">
        <v>15</v>
      </c>
      <c r="I709">
        <v>1</v>
      </c>
      <c r="J709" t="s">
        <v>16</v>
      </c>
      <c r="K709" t="s">
        <v>32</v>
      </c>
      <c r="L709">
        <v>44</v>
      </c>
      <c r="M709" t="str">
        <f t="shared" ref="M709:M772" si="11">IF(L709&gt;54,"Old",IF(L709&gt;=31,"Middle Age",IF(L709&lt;31,"Adolscent","Invalid")))</f>
        <v>Middle Age</v>
      </c>
      <c r="N709" t="s">
        <v>15</v>
      </c>
    </row>
    <row r="710" spans="1:14" x14ac:dyDescent="0.3">
      <c r="A710">
        <v>18069</v>
      </c>
      <c r="B710" t="s">
        <v>36</v>
      </c>
      <c r="C710" t="s">
        <v>39</v>
      </c>
      <c r="D710" s="1">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1">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1">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1">
        <v>40000</v>
      </c>
      <c r="E716">
        <v>0</v>
      </c>
      <c r="F716" t="s">
        <v>27</v>
      </c>
      <c r="G716" t="s">
        <v>14</v>
      </c>
      <c r="H716" t="s">
        <v>15</v>
      </c>
      <c r="I716">
        <v>2</v>
      </c>
      <c r="J716" t="s">
        <v>23</v>
      </c>
      <c r="K716" t="s">
        <v>32</v>
      </c>
      <c r="L716">
        <v>28</v>
      </c>
      <c r="M716" t="str">
        <f t="shared" si="11"/>
        <v>Adolscent</v>
      </c>
      <c r="N716" t="s">
        <v>15</v>
      </c>
    </row>
    <row r="717" spans="1:14" x14ac:dyDescent="0.3">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1">
        <v>40000</v>
      </c>
      <c r="E730">
        <v>0</v>
      </c>
      <c r="F730" t="s">
        <v>27</v>
      </c>
      <c r="G730" t="s">
        <v>14</v>
      </c>
      <c r="H730" t="s">
        <v>15</v>
      </c>
      <c r="I730">
        <v>2</v>
      </c>
      <c r="J730" t="s">
        <v>23</v>
      </c>
      <c r="K730" t="s">
        <v>32</v>
      </c>
      <c r="L730">
        <v>27</v>
      </c>
      <c r="M730" t="str">
        <f t="shared" si="11"/>
        <v>Adolscent</v>
      </c>
      <c r="N730" t="s">
        <v>18</v>
      </c>
    </row>
    <row r="731" spans="1:14" x14ac:dyDescent="0.3">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1">
        <v>30000</v>
      </c>
      <c r="E737">
        <v>0</v>
      </c>
      <c r="F737" t="s">
        <v>19</v>
      </c>
      <c r="G737" t="s">
        <v>14</v>
      </c>
      <c r="H737" t="s">
        <v>15</v>
      </c>
      <c r="I737">
        <v>1</v>
      </c>
      <c r="J737" t="s">
        <v>23</v>
      </c>
      <c r="K737" t="s">
        <v>32</v>
      </c>
      <c r="L737">
        <v>26</v>
      </c>
      <c r="M737" t="str">
        <f t="shared" si="11"/>
        <v>Adolscent</v>
      </c>
      <c r="N737" t="s">
        <v>18</v>
      </c>
    </row>
    <row r="738" spans="1:14" x14ac:dyDescent="0.3">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1">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1">
        <v>40000</v>
      </c>
      <c r="E742">
        <v>4</v>
      </c>
      <c r="F742" t="s">
        <v>19</v>
      </c>
      <c r="G742" t="s">
        <v>20</v>
      </c>
      <c r="H742" t="s">
        <v>18</v>
      </c>
      <c r="I742">
        <v>0</v>
      </c>
      <c r="J742" t="s">
        <v>16</v>
      </c>
      <c r="K742" t="s">
        <v>32</v>
      </c>
      <c r="L742">
        <v>30</v>
      </c>
      <c r="M742" t="str">
        <f t="shared" si="11"/>
        <v>Adolscent</v>
      </c>
      <c r="N742" t="s">
        <v>18</v>
      </c>
    </row>
    <row r="743" spans="1:14" x14ac:dyDescent="0.3">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1">
        <v>30000</v>
      </c>
      <c r="E744">
        <v>0</v>
      </c>
      <c r="F744" t="s">
        <v>27</v>
      </c>
      <c r="G744" t="s">
        <v>14</v>
      </c>
      <c r="H744" t="s">
        <v>15</v>
      </c>
      <c r="I744">
        <v>2</v>
      </c>
      <c r="J744" t="s">
        <v>23</v>
      </c>
      <c r="K744" t="s">
        <v>32</v>
      </c>
      <c r="L744">
        <v>30</v>
      </c>
      <c r="M744" t="str">
        <f t="shared" si="11"/>
        <v>Adolscent</v>
      </c>
      <c r="N744" t="s">
        <v>18</v>
      </c>
    </row>
    <row r="745" spans="1:14" x14ac:dyDescent="0.3">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1">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1">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1">
        <v>40000</v>
      </c>
      <c r="E755">
        <v>0</v>
      </c>
      <c r="F755" t="s">
        <v>19</v>
      </c>
      <c r="G755" t="s">
        <v>14</v>
      </c>
      <c r="H755" t="s">
        <v>18</v>
      </c>
      <c r="I755">
        <v>1</v>
      </c>
      <c r="J755" t="s">
        <v>26</v>
      </c>
      <c r="K755" t="s">
        <v>32</v>
      </c>
      <c r="L755">
        <v>27</v>
      </c>
      <c r="M755" t="str">
        <f t="shared" si="11"/>
        <v>Adolscent</v>
      </c>
      <c r="N755" t="s">
        <v>18</v>
      </c>
    </row>
    <row r="756" spans="1:14" x14ac:dyDescent="0.3">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1">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1">
        <v>60000</v>
      </c>
      <c r="E766">
        <v>0</v>
      </c>
      <c r="F766" t="s">
        <v>19</v>
      </c>
      <c r="G766" t="s">
        <v>14</v>
      </c>
      <c r="H766" t="s">
        <v>18</v>
      </c>
      <c r="I766">
        <v>1</v>
      </c>
      <c r="J766" t="s">
        <v>26</v>
      </c>
      <c r="K766" t="s">
        <v>32</v>
      </c>
      <c r="L766">
        <v>27</v>
      </c>
      <c r="M766" t="str">
        <f t="shared" si="11"/>
        <v>Adolscent</v>
      </c>
      <c r="N766" t="s">
        <v>18</v>
      </c>
    </row>
    <row r="767" spans="1:14" x14ac:dyDescent="0.3">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1">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1">
        <v>100000</v>
      </c>
      <c r="E771">
        <v>4</v>
      </c>
      <c r="F771" t="s">
        <v>13</v>
      </c>
      <c r="G771" t="s">
        <v>28</v>
      </c>
      <c r="H771" t="s">
        <v>15</v>
      </c>
      <c r="I771">
        <v>4</v>
      </c>
      <c r="J771" t="s">
        <v>16</v>
      </c>
      <c r="K771" t="s">
        <v>32</v>
      </c>
      <c r="L771">
        <v>40</v>
      </c>
      <c r="M771" t="str">
        <f t="shared" si="11"/>
        <v>Middle Age</v>
      </c>
      <c r="N771" t="s">
        <v>18</v>
      </c>
    </row>
    <row r="772" spans="1:14" x14ac:dyDescent="0.3">
      <c r="A772">
        <v>17699</v>
      </c>
      <c r="B772" t="s">
        <v>36</v>
      </c>
      <c r="C772" t="s">
        <v>39</v>
      </c>
      <c r="D772" s="1">
        <v>60000</v>
      </c>
      <c r="E772">
        <v>1</v>
      </c>
      <c r="F772" t="s">
        <v>31</v>
      </c>
      <c r="G772" t="s">
        <v>14</v>
      </c>
      <c r="H772" t="s">
        <v>18</v>
      </c>
      <c r="I772">
        <v>0</v>
      </c>
      <c r="J772" t="s">
        <v>16</v>
      </c>
      <c r="K772" t="s">
        <v>32</v>
      </c>
      <c r="L772">
        <v>55</v>
      </c>
      <c r="M772" t="str">
        <f t="shared" si="11"/>
        <v>Old</v>
      </c>
      <c r="N772" t="s">
        <v>18</v>
      </c>
    </row>
    <row r="773" spans="1:14" x14ac:dyDescent="0.3">
      <c r="A773">
        <v>14657</v>
      </c>
      <c r="B773" t="s">
        <v>36</v>
      </c>
      <c r="C773" t="s">
        <v>39</v>
      </c>
      <c r="D773" s="1">
        <v>80000</v>
      </c>
      <c r="E773">
        <v>1</v>
      </c>
      <c r="F773" t="s">
        <v>19</v>
      </c>
      <c r="G773" t="s">
        <v>14</v>
      </c>
      <c r="H773" t="s">
        <v>18</v>
      </c>
      <c r="I773">
        <v>1</v>
      </c>
      <c r="J773" t="s">
        <v>16</v>
      </c>
      <c r="K773" t="s">
        <v>32</v>
      </c>
      <c r="L773">
        <v>47</v>
      </c>
      <c r="M773" t="str">
        <f t="shared" ref="M773:M836" si="12">IF(L773&gt;54,"Old",IF(L773&gt;=31,"Middle Age",IF(L773&lt;31,"Adolscent","Invalid")))</f>
        <v>Middle Age</v>
      </c>
      <c r="N773" t="s">
        <v>15</v>
      </c>
    </row>
    <row r="774" spans="1:14" x14ac:dyDescent="0.3">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1">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1">
        <v>40000</v>
      </c>
      <c r="E779">
        <v>0</v>
      </c>
      <c r="F779" t="s">
        <v>27</v>
      </c>
      <c r="G779" t="s">
        <v>14</v>
      </c>
      <c r="H779" t="s">
        <v>15</v>
      </c>
      <c r="I779">
        <v>2</v>
      </c>
      <c r="J779" t="s">
        <v>23</v>
      </c>
      <c r="K779" t="s">
        <v>32</v>
      </c>
      <c r="L779">
        <v>27</v>
      </c>
      <c r="M779" t="str">
        <f t="shared" si="12"/>
        <v>Adolscent</v>
      </c>
      <c r="N779" t="s">
        <v>18</v>
      </c>
    </row>
    <row r="780" spans="1:14" x14ac:dyDescent="0.3">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1">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1">
        <v>40000</v>
      </c>
      <c r="E787">
        <v>0</v>
      </c>
      <c r="F787" t="s">
        <v>27</v>
      </c>
      <c r="G787" t="s">
        <v>14</v>
      </c>
      <c r="H787" t="s">
        <v>18</v>
      </c>
      <c r="I787">
        <v>2</v>
      </c>
      <c r="J787" t="s">
        <v>16</v>
      </c>
      <c r="K787" t="s">
        <v>32</v>
      </c>
      <c r="L787">
        <v>28</v>
      </c>
      <c r="M787" t="str">
        <f t="shared" si="12"/>
        <v>Adolscent</v>
      </c>
      <c r="N787" t="s">
        <v>15</v>
      </c>
    </row>
    <row r="788" spans="1:14" x14ac:dyDescent="0.3">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1">
        <v>40000</v>
      </c>
      <c r="E793">
        <v>0</v>
      </c>
      <c r="F793" t="s">
        <v>27</v>
      </c>
      <c r="G793" t="s">
        <v>14</v>
      </c>
      <c r="H793" t="s">
        <v>15</v>
      </c>
      <c r="I793">
        <v>2</v>
      </c>
      <c r="J793" t="s">
        <v>23</v>
      </c>
      <c r="K793" t="s">
        <v>32</v>
      </c>
      <c r="L793">
        <v>28</v>
      </c>
      <c r="M793" t="str">
        <f t="shared" si="12"/>
        <v>Adolscent</v>
      </c>
      <c r="N793" t="s">
        <v>15</v>
      </c>
    </row>
    <row r="794" spans="1:14" x14ac:dyDescent="0.3">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1">
        <v>60000</v>
      </c>
      <c r="E799">
        <v>0</v>
      </c>
      <c r="F799" t="s">
        <v>19</v>
      </c>
      <c r="G799" t="s">
        <v>14</v>
      </c>
      <c r="H799" t="s">
        <v>15</v>
      </c>
      <c r="I799">
        <v>1</v>
      </c>
      <c r="J799" t="s">
        <v>23</v>
      </c>
      <c r="K799" t="s">
        <v>32</v>
      </c>
      <c r="L799">
        <v>27</v>
      </c>
      <c r="M799" t="str">
        <f t="shared" si="12"/>
        <v>Adolscent</v>
      </c>
      <c r="N799" t="s">
        <v>15</v>
      </c>
    </row>
    <row r="800" spans="1:14" x14ac:dyDescent="0.3">
      <c r="A800">
        <v>22971</v>
      </c>
      <c r="B800" t="s">
        <v>37</v>
      </c>
      <c r="C800" t="s">
        <v>38</v>
      </c>
      <c r="D800" s="1">
        <v>30000</v>
      </c>
      <c r="E800">
        <v>0</v>
      </c>
      <c r="F800" t="s">
        <v>27</v>
      </c>
      <c r="G800" t="s">
        <v>14</v>
      </c>
      <c r="H800" t="s">
        <v>18</v>
      </c>
      <c r="I800">
        <v>2</v>
      </c>
      <c r="J800" t="s">
        <v>16</v>
      </c>
      <c r="K800" t="s">
        <v>32</v>
      </c>
      <c r="L800">
        <v>25</v>
      </c>
      <c r="M800" t="str">
        <f t="shared" si="12"/>
        <v>Adolscent</v>
      </c>
      <c r="N800" t="s">
        <v>15</v>
      </c>
    </row>
    <row r="801" spans="1:14" x14ac:dyDescent="0.3">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1">
        <v>40000</v>
      </c>
      <c r="E804">
        <v>0</v>
      </c>
      <c r="F804" t="s">
        <v>19</v>
      </c>
      <c r="G804" t="s">
        <v>14</v>
      </c>
      <c r="H804" t="s">
        <v>15</v>
      </c>
      <c r="I804">
        <v>1</v>
      </c>
      <c r="J804" t="s">
        <v>23</v>
      </c>
      <c r="K804" t="s">
        <v>32</v>
      </c>
      <c r="L804">
        <v>27</v>
      </c>
      <c r="M804" t="str">
        <f t="shared" si="12"/>
        <v>Adolscent</v>
      </c>
      <c r="N804" t="s">
        <v>18</v>
      </c>
    </row>
    <row r="805" spans="1:14" x14ac:dyDescent="0.3">
      <c r="A805">
        <v>15255</v>
      </c>
      <c r="B805" t="s">
        <v>36</v>
      </c>
      <c r="C805" t="s">
        <v>39</v>
      </c>
      <c r="D805" s="1">
        <v>40000</v>
      </c>
      <c r="E805">
        <v>0</v>
      </c>
      <c r="F805" t="s">
        <v>27</v>
      </c>
      <c r="G805" t="s">
        <v>14</v>
      </c>
      <c r="H805" t="s">
        <v>15</v>
      </c>
      <c r="I805">
        <v>2</v>
      </c>
      <c r="J805" t="s">
        <v>23</v>
      </c>
      <c r="K805" t="s">
        <v>32</v>
      </c>
      <c r="L805">
        <v>28</v>
      </c>
      <c r="M805" t="str">
        <f t="shared" si="12"/>
        <v>Adolscent</v>
      </c>
      <c r="N805" t="s">
        <v>15</v>
      </c>
    </row>
    <row r="806" spans="1:14" x14ac:dyDescent="0.3">
      <c r="A806">
        <v>13154</v>
      </c>
      <c r="B806" t="s">
        <v>36</v>
      </c>
      <c r="C806" t="s">
        <v>39</v>
      </c>
      <c r="D806" s="1">
        <v>40000</v>
      </c>
      <c r="E806">
        <v>0</v>
      </c>
      <c r="F806" t="s">
        <v>27</v>
      </c>
      <c r="G806" t="s">
        <v>14</v>
      </c>
      <c r="H806" t="s">
        <v>18</v>
      </c>
      <c r="I806">
        <v>2</v>
      </c>
      <c r="J806" t="s">
        <v>16</v>
      </c>
      <c r="K806" t="s">
        <v>32</v>
      </c>
      <c r="L806">
        <v>27</v>
      </c>
      <c r="M806" t="str">
        <f t="shared" si="12"/>
        <v>Adolscent</v>
      </c>
      <c r="N806" t="s">
        <v>15</v>
      </c>
    </row>
    <row r="807" spans="1:14" x14ac:dyDescent="0.3">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1">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1">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1">
        <v>40000</v>
      </c>
      <c r="E817">
        <v>0</v>
      </c>
      <c r="F817" t="s">
        <v>19</v>
      </c>
      <c r="G817" t="s">
        <v>14</v>
      </c>
      <c r="H817" t="s">
        <v>18</v>
      </c>
      <c r="I817">
        <v>2</v>
      </c>
      <c r="J817" t="s">
        <v>26</v>
      </c>
      <c r="K817" t="s">
        <v>32</v>
      </c>
      <c r="L817">
        <v>30</v>
      </c>
      <c r="M817" t="str">
        <f t="shared" si="12"/>
        <v>Adolscent</v>
      </c>
      <c r="N817" t="s">
        <v>18</v>
      </c>
    </row>
    <row r="818" spans="1:14" x14ac:dyDescent="0.3">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1">
        <v>40000</v>
      </c>
      <c r="E820">
        <v>0</v>
      </c>
      <c r="F820" t="s">
        <v>19</v>
      </c>
      <c r="G820" t="s">
        <v>14</v>
      </c>
      <c r="H820" t="s">
        <v>15</v>
      </c>
      <c r="I820">
        <v>1</v>
      </c>
      <c r="J820" t="s">
        <v>23</v>
      </c>
      <c r="K820" t="s">
        <v>32</v>
      </c>
      <c r="L820">
        <v>30</v>
      </c>
      <c r="M820" t="str">
        <f t="shared" si="12"/>
        <v>Adolscent</v>
      </c>
      <c r="N820" t="s">
        <v>18</v>
      </c>
    </row>
    <row r="821" spans="1:14" x14ac:dyDescent="0.3">
      <c r="A821">
        <v>27505</v>
      </c>
      <c r="B821" t="s">
        <v>37</v>
      </c>
      <c r="C821" t="s">
        <v>38</v>
      </c>
      <c r="D821" s="1">
        <v>40000</v>
      </c>
      <c r="E821">
        <v>0</v>
      </c>
      <c r="F821" t="s">
        <v>27</v>
      </c>
      <c r="G821" t="s">
        <v>14</v>
      </c>
      <c r="H821" t="s">
        <v>15</v>
      </c>
      <c r="I821">
        <v>2</v>
      </c>
      <c r="J821" t="s">
        <v>23</v>
      </c>
      <c r="K821" t="s">
        <v>32</v>
      </c>
      <c r="L821">
        <v>30</v>
      </c>
      <c r="M821" t="str">
        <f t="shared" si="12"/>
        <v>Adolscent</v>
      </c>
      <c r="N821" t="s">
        <v>18</v>
      </c>
    </row>
    <row r="822" spans="1:14" x14ac:dyDescent="0.3">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1">
        <v>40000</v>
      </c>
      <c r="E830">
        <v>0</v>
      </c>
      <c r="F830" t="s">
        <v>29</v>
      </c>
      <c r="G830" t="s">
        <v>20</v>
      </c>
      <c r="H830" t="s">
        <v>15</v>
      </c>
      <c r="I830">
        <v>2</v>
      </c>
      <c r="J830" t="s">
        <v>23</v>
      </c>
      <c r="K830" t="s">
        <v>32</v>
      </c>
      <c r="L830">
        <v>26</v>
      </c>
      <c r="M830" t="str">
        <f t="shared" si="12"/>
        <v>Adolscent</v>
      </c>
      <c r="N830" t="s">
        <v>18</v>
      </c>
    </row>
    <row r="831" spans="1:14" x14ac:dyDescent="0.3">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1">
        <v>70000</v>
      </c>
      <c r="E835">
        <v>0</v>
      </c>
      <c r="F835" t="s">
        <v>13</v>
      </c>
      <c r="G835" t="s">
        <v>21</v>
      </c>
      <c r="H835" t="s">
        <v>18</v>
      </c>
      <c r="I835">
        <v>1</v>
      </c>
      <c r="J835" t="s">
        <v>16</v>
      </c>
      <c r="K835" t="s">
        <v>32</v>
      </c>
      <c r="L835">
        <v>37</v>
      </c>
      <c r="M835" t="str">
        <f t="shared" si="12"/>
        <v>Middle Age</v>
      </c>
      <c r="N835" t="s">
        <v>15</v>
      </c>
    </row>
    <row r="836" spans="1:14" x14ac:dyDescent="0.3">
      <c r="A836">
        <v>19889</v>
      </c>
      <c r="B836" t="s">
        <v>37</v>
      </c>
      <c r="C836" t="s">
        <v>38</v>
      </c>
      <c r="D836" s="1">
        <v>70000</v>
      </c>
      <c r="E836">
        <v>2</v>
      </c>
      <c r="F836" t="s">
        <v>29</v>
      </c>
      <c r="G836" t="s">
        <v>14</v>
      </c>
      <c r="H836" t="s">
        <v>18</v>
      </c>
      <c r="I836">
        <v>2</v>
      </c>
      <c r="J836" t="s">
        <v>22</v>
      </c>
      <c r="K836" t="s">
        <v>32</v>
      </c>
      <c r="L836">
        <v>54</v>
      </c>
      <c r="M836" t="str">
        <f t="shared" si="12"/>
        <v>Middle Age</v>
      </c>
      <c r="N836" t="s">
        <v>15</v>
      </c>
    </row>
    <row r="837" spans="1:14" x14ac:dyDescent="0.3">
      <c r="A837">
        <v>12922</v>
      </c>
      <c r="B837" t="s">
        <v>37</v>
      </c>
      <c r="C837" t="s">
        <v>38</v>
      </c>
      <c r="D837" s="1">
        <v>60000</v>
      </c>
      <c r="E837">
        <v>3</v>
      </c>
      <c r="F837" t="s">
        <v>13</v>
      </c>
      <c r="G837" t="s">
        <v>14</v>
      </c>
      <c r="H837" t="s">
        <v>15</v>
      </c>
      <c r="I837">
        <v>0</v>
      </c>
      <c r="J837" t="s">
        <v>22</v>
      </c>
      <c r="K837" t="s">
        <v>32</v>
      </c>
      <c r="L837">
        <v>40</v>
      </c>
      <c r="M837" t="str">
        <f t="shared" ref="M837:M900" si="13">IF(L837&gt;54,"Old",IF(L837&gt;=31,"Middle Age",IF(L837&lt;31,"Adolscent","Invalid")))</f>
        <v>Middle Age</v>
      </c>
      <c r="N837" t="s">
        <v>15</v>
      </c>
    </row>
    <row r="838" spans="1:14" x14ac:dyDescent="0.3">
      <c r="A838">
        <v>18891</v>
      </c>
      <c r="B838" t="s">
        <v>36</v>
      </c>
      <c r="C838" t="s">
        <v>38</v>
      </c>
      <c r="D838" s="1">
        <v>40000</v>
      </c>
      <c r="E838">
        <v>0</v>
      </c>
      <c r="F838" t="s">
        <v>19</v>
      </c>
      <c r="G838" t="s">
        <v>14</v>
      </c>
      <c r="H838" t="s">
        <v>15</v>
      </c>
      <c r="I838">
        <v>2</v>
      </c>
      <c r="J838" t="s">
        <v>23</v>
      </c>
      <c r="K838" t="s">
        <v>32</v>
      </c>
      <c r="L838">
        <v>28</v>
      </c>
      <c r="M838" t="str">
        <f t="shared" si="13"/>
        <v>Adolscent</v>
      </c>
      <c r="N838" t="s">
        <v>18</v>
      </c>
    </row>
    <row r="839" spans="1:14" x14ac:dyDescent="0.3">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1">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1">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1">
        <v>40000</v>
      </c>
      <c r="E849">
        <v>0</v>
      </c>
      <c r="F849" t="s">
        <v>29</v>
      </c>
      <c r="G849" t="s">
        <v>20</v>
      </c>
      <c r="H849" t="s">
        <v>15</v>
      </c>
      <c r="I849">
        <v>2</v>
      </c>
      <c r="J849" t="s">
        <v>23</v>
      </c>
      <c r="K849" t="s">
        <v>32</v>
      </c>
      <c r="L849">
        <v>29</v>
      </c>
      <c r="M849" t="str">
        <f t="shared" si="13"/>
        <v>Adolscent</v>
      </c>
      <c r="N849" t="s">
        <v>18</v>
      </c>
    </row>
    <row r="850" spans="1:14" x14ac:dyDescent="0.3">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1">
        <v>40000</v>
      </c>
      <c r="E858">
        <v>0</v>
      </c>
      <c r="F858" t="s">
        <v>19</v>
      </c>
      <c r="G858" t="s">
        <v>14</v>
      </c>
      <c r="H858" t="s">
        <v>15</v>
      </c>
      <c r="I858">
        <v>1</v>
      </c>
      <c r="J858" t="s">
        <v>23</v>
      </c>
      <c r="K858" t="s">
        <v>32</v>
      </c>
      <c r="L858">
        <v>27</v>
      </c>
      <c r="M858" t="str">
        <f t="shared" si="13"/>
        <v>Adolscent</v>
      </c>
      <c r="N858" t="s">
        <v>18</v>
      </c>
    </row>
    <row r="859" spans="1:14" x14ac:dyDescent="0.3">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1">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1">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1">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1">
        <v>30000</v>
      </c>
      <c r="E878">
        <v>0</v>
      </c>
      <c r="F878" t="s">
        <v>29</v>
      </c>
      <c r="G878" t="s">
        <v>20</v>
      </c>
      <c r="H878" t="s">
        <v>18</v>
      </c>
      <c r="I878">
        <v>2</v>
      </c>
      <c r="J878" t="s">
        <v>16</v>
      </c>
      <c r="K878" t="s">
        <v>32</v>
      </c>
      <c r="L878">
        <v>26</v>
      </c>
      <c r="M878" t="str">
        <f t="shared" si="13"/>
        <v>Adolscent</v>
      </c>
      <c r="N878" t="s">
        <v>18</v>
      </c>
    </row>
    <row r="879" spans="1:14" x14ac:dyDescent="0.3">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1">
        <v>30000</v>
      </c>
      <c r="E899">
        <v>0</v>
      </c>
      <c r="F899" t="s">
        <v>29</v>
      </c>
      <c r="G899" t="s">
        <v>20</v>
      </c>
      <c r="H899" t="s">
        <v>18</v>
      </c>
      <c r="I899">
        <v>2</v>
      </c>
      <c r="J899" t="s">
        <v>16</v>
      </c>
      <c r="K899" t="s">
        <v>32</v>
      </c>
      <c r="L899">
        <v>28</v>
      </c>
      <c r="M899" t="str">
        <f t="shared" si="13"/>
        <v>Adolscent</v>
      </c>
      <c r="N899" t="s">
        <v>18</v>
      </c>
    </row>
    <row r="900" spans="1:14" x14ac:dyDescent="0.3">
      <c r="A900">
        <v>18066</v>
      </c>
      <c r="B900" t="s">
        <v>37</v>
      </c>
      <c r="C900" t="s">
        <v>39</v>
      </c>
      <c r="D900" s="1">
        <v>70000</v>
      </c>
      <c r="E900">
        <v>5</v>
      </c>
      <c r="F900" t="s">
        <v>13</v>
      </c>
      <c r="G900" t="s">
        <v>28</v>
      </c>
      <c r="H900" t="s">
        <v>15</v>
      </c>
      <c r="I900">
        <v>3</v>
      </c>
      <c r="J900" t="s">
        <v>47</v>
      </c>
      <c r="K900" t="s">
        <v>32</v>
      </c>
      <c r="L900">
        <v>60</v>
      </c>
      <c r="M900" t="str">
        <f t="shared" si="13"/>
        <v>Old</v>
      </c>
      <c r="N900" t="s">
        <v>15</v>
      </c>
    </row>
    <row r="901" spans="1:14" x14ac:dyDescent="0.3">
      <c r="A901">
        <v>28192</v>
      </c>
      <c r="B901" t="s">
        <v>36</v>
      </c>
      <c r="C901" t="s">
        <v>38</v>
      </c>
      <c r="D901" s="1">
        <v>70000</v>
      </c>
      <c r="E901">
        <v>5</v>
      </c>
      <c r="F901" t="s">
        <v>31</v>
      </c>
      <c r="G901" t="s">
        <v>21</v>
      </c>
      <c r="H901" t="s">
        <v>15</v>
      </c>
      <c r="I901">
        <v>3</v>
      </c>
      <c r="J901" t="s">
        <v>47</v>
      </c>
      <c r="K901" t="s">
        <v>32</v>
      </c>
      <c r="L901">
        <v>46</v>
      </c>
      <c r="M901" t="str">
        <f t="shared" ref="M901:M964" si="14">IF(L901&gt;54,"Old",IF(L901&gt;=31,"Middle Age",IF(L901&lt;31,"Adolscent","Invalid")))</f>
        <v>Middle Age</v>
      </c>
      <c r="N901" t="s">
        <v>18</v>
      </c>
    </row>
    <row r="902" spans="1:14" x14ac:dyDescent="0.3">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1">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1">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1">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1">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1">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1">
        <v>40000</v>
      </c>
      <c r="E934">
        <v>0</v>
      </c>
      <c r="F934" t="s">
        <v>27</v>
      </c>
      <c r="G934" t="s">
        <v>14</v>
      </c>
      <c r="H934" t="s">
        <v>18</v>
      </c>
      <c r="I934">
        <v>2</v>
      </c>
      <c r="J934" t="s">
        <v>16</v>
      </c>
      <c r="K934" t="s">
        <v>32</v>
      </c>
      <c r="L934">
        <v>27</v>
      </c>
      <c r="M934" t="str">
        <f t="shared" si="14"/>
        <v>Adolscent</v>
      </c>
      <c r="N934" t="s">
        <v>15</v>
      </c>
    </row>
    <row r="935" spans="1:14" x14ac:dyDescent="0.3">
      <c r="A935">
        <v>11941</v>
      </c>
      <c r="B935" t="s">
        <v>37</v>
      </c>
      <c r="C935" t="s">
        <v>39</v>
      </c>
      <c r="D935" s="1">
        <v>60000</v>
      </c>
      <c r="E935">
        <v>0</v>
      </c>
      <c r="F935" t="s">
        <v>19</v>
      </c>
      <c r="G935" t="s">
        <v>14</v>
      </c>
      <c r="H935" t="s">
        <v>15</v>
      </c>
      <c r="I935">
        <v>0</v>
      </c>
      <c r="J935" t="s">
        <v>23</v>
      </c>
      <c r="K935" t="s">
        <v>32</v>
      </c>
      <c r="L935">
        <v>29</v>
      </c>
      <c r="M935" t="str">
        <f t="shared" si="14"/>
        <v>Adolscent</v>
      </c>
      <c r="N935" t="s">
        <v>18</v>
      </c>
    </row>
    <row r="936" spans="1:14" x14ac:dyDescent="0.3">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1">
        <v>40000</v>
      </c>
      <c r="E940">
        <v>0</v>
      </c>
      <c r="F940" t="s">
        <v>27</v>
      </c>
      <c r="G940" t="s">
        <v>14</v>
      </c>
      <c r="H940" t="s">
        <v>15</v>
      </c>
      <c r="I940">
        <v>2</v>
      </c>
      <c r="J940" t="s">
        <v>23</v>
      </c>
      <c r="K940" t="s">
        <v>32</v>
      </c>
      <c r="L940">
        <v>27</v>
      </c>
      <c r="M940" t="str">
        <f t="shared" si="14"/>
        <v>Adolscent</v>
      </c>
      <c r="N940" t="s">
        <v>18</v>
      </c>
    </row>
    <row r="941" spans="1:14" x14ac:dyDescent="0.3">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1">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1">
        <v>40000</v>
      </c>
      <c r="E955">
        <v>3</v>
      </c>
      <c r="F955" t="s">
        <v>19</v>
      </c>
      <c r="G955" t="s">
        <v>20</v>
      </c>
      <c r="H955" t="s">
        <v>15</v>
      </c>
      <c r="I955">
        <v>1</v>
      </c>
      <c r="J955" t="s">
        <v>26</v>
      </c>
      <c r="K955" t="s">
        <v>32</v>
      </c>
      <c r="L955">
        <v>30</v>
      </c>
      <c r="M955" t="str">
        <f t="shared" si="14"/>
        <v>Adolscent</v>
      </c>
      <c r="N955" t="s">
        <v>15</v>
      </c>
    </row>
    <row r="956" spans="1:14" x14ac:dyDescent="0.3">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1">
        <v>60000</v>
      </c>
      <c r="E959">
        <v>0</v>
      </c>
      <c r="F959" t="s">
        <v>19</v>
      </c>
      <c r="G959" t="s">
        <v>21</v>
      </c>
      <c r="H959" t="s">
        <v>15</v>
      </c>
      <c r="I959">
        <v>2</v>
      </c>
      <c r="J959" t="s">
        <v>23</v>
      </c>
      <c r="K959" t="s">
        <v>32</v>
      </c>
      <c r="L959">
        <v>30</v>
      </c>
      <c r="M959" t="str">
        <f t="shared" si="14"/>
        <v>Adolscent</v>
      </c>
      <c r="N959" t="s">
        <v>18</v>
      </c>
    </row>
    <row r="960" spans="1:14" x14ac:dyDescent="0.3">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1">
        <v>120000</v>
      </c>
      <c r="E963">
        <v>2</v>
      </c>
      <c r="F963" t="s">
        <v>13</v>
      </c>
      <c r="G963" t="s">
        <v>28</v>
      </c>
      <c r="H963" t="s">
        <v>15</v>
      </c>
      <c r="I963">
        <v>3</v>
      </c>
      <c r="J963" t="s">
        <v>23</v>
      </c>
      <c r="K963" t="s">
        <v>32</v>
      </c>
      <c r="L963">
        <v>62</v>
      </c>
      <c r="M963" t="str">
        <f t="shared" si="14"/>
        <v>Old</v>
      </c>
      <c r="N963" t="s">
        <v>18</v>
      </c>
    </row>
    <row r="964" spans="1:14" x14ac:dyDescent="0.3">
      <c r="A964">
        <v>16813</v>
      </c>
      <c r="B964" t="s">
        <v>36</v>
      </c>
      <c r="C964" t="s">
        <v>39</v>
      </c>
      <c r="D964" s="1">
        <v>60000</v>
      </c>
      <c r="E964">
        <v>2</v>
      </c>
      <c r="F964" t="s">
        <v>19</v>
      </c>
      <c r="G964" t="s">
        <v>21</v>
      </c>
      <c r="H964" t="s">
        <v>15</v>
      </c>
      <c r="I964">
        <v>2</v>
      </c>
      <c r="J964" t="s">
        <v>47</v>
      </c>
      <c r="K964" t="s">
        <v>32</v>
      </c>
      <c r="L964">
        <v>55</v>
      </c>
      <c r="M964" t="str">
        <f t="shared" si="14"/>
        <v>Old</v>
      </c>
      <c r="N964" t="s">
        <v>18</v>
      </c>
    </row>
    <row r="965" spans="1:14" x14ac:dyDescent="0.3">
      <c r="A965">
        <v>16007</v>
      </c>
      <c r="B965" t="s">
        <v>36</v>
      </c>
      <c r="C965" t="s">
        <v>38</v>
      </c>
      <c r="D965" s="1">
        <v>90000</v>
      </c>
      <c r="E965">
        <v>5</v>
      </c>
      <c r="F965" t="s">
        <v>13</v>
      </c>
      <c r="G965" t="s">
        <v>28</v>
      </c>
      <c r="H965" t="s">
        <v>15</v>
      </c>
      <c r="I965">
        <v>2</v>
      </c>
      <c r="J965" t="s">
        <v>26</v>
      </c>
      <c r="K965" t="s">
        <v>32</v>
      </c>
      <c r="L965">
        <v>66</v>
      </c>
      <c r="M965" t="str">
        <f t="shared" ref="M965:M1001" si="15">IF(L965&gt;54,"Old",IF(L965&gt;=31,"Middle Age",IF(L965&lt;31,"Adolscent","Invalid")))</f>
        <v>Old</v>
      </c>
      <c r="N965" t="s">
        <v>15</v>
      </c>
    </row>
    <row r="966" spans="1:14" x14ac:dyDescent="0.3">
      <c r="A966">
        <v>27434</v>
      </c>
      <c r="B966" t="s">
        <v>37</v>
      </c>
      <c r="C966" t="s">
        <v>39</v>
      </c>
      <c r="D966" s="1">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1">
        <v>30000</v>
      </c>
      <c r="E970">
        <v>0</v>
      </c>
      <c r="F970" t="s">
        <v>29</v>
      </c>
      <c r="G970" t="s">
        <v>20</v>
      </c>
      <c r="H970" t="s">
        <v>18</v>
      </c>
      <c r="I970">
        <v>2</v>
      </c>
      <c r="J970" t="s">
        <v>23</v>
      </c>
      <c r="K970" t="s">
        <v>32</v>
      </c>
      <c r="L970">
        <v>27</v>
      </c>
      <c r="M970" t="str">
        <f t="shared" si="15"/>
        <v>Adolscent</v>
      </c>
      <c r="N970" t="s">
        <v>18</v>
      </c>
    </row>
    <row r="971" spans="1:14" x14ac:dyDescent="0.3">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1">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1">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1">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1">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1">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1">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1">
        <v>30000</v>
      </c>
      <c r="E992">
        <v>0</v>
      </c>
      <c r="F992" t="s">
        <v>27</v>
      </c>
      <c r="G992" t="s">
        <v>14</v>
      </c>
      <c r="H992" t="s">
        <v>18</v>
      </c>
      <c r="I992">
        <v>2</v>
      </c>
      <c r="J992" t="s">
        <v>23</v>
      </c>
      <c r="K992" t="s">
        <v>32</v>
      </c>
      <c r="L992">
        <v>26</v>
      </c>
      <c r="M992" t="str">
        <f t="shared" si="15"/>
        <v>Adolscent</v>
      </c>
      <c r="N992" t="s">
        <v>18</v>
      </c>
    </row>
    <row r="993" spans="1:14" x14ac:dyDescent="0.3">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1">
        <v>60000</v>
      </c>
      <c r="E1001">
        <v>3</v>
      </c>
      <c r="F1001" t="s">
        <v>27</v>
      </c>
      <c r="G1001" t="s">
        <v>21</v>
      </c>
      <c r="H1001" t="s">
        <v>15</v>
      </c>
      <c r="I1001">
        <v>2</v>
      </c>
      <c r="J1001" t="s">
        <v>47</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1"/>
  <sheetViews>
    <sheetView topLeftCell="A25" workbookViewId="0">
      <selection activeCell="J57" sqref="J57"/>
    </sheetView>
  </sheetViews>
  <sheetFormatPr defaultRowHeight="14.4" x14ac:dyDescent="0.3"/>
  <cols>
    <col min="1" max="1" width="21.88671875" customWidth="1"/>
    <col min="2" max="2" width="15.5546875" customWidth="1"/>
    <col min="3" max="3" width="4" customWidth="1"/>
    <col min="4" max="4" width="10.77734375" bestFit="1" customWidth="1"/>
  </cols>
  <sheetData>
    <row r="1" spans="1:21" x14ac:dyDescent="0.3">
      <c r="A1" s="4" t="s">
        <v>44</v>
      </c>
      <c r="B1" s="4" t="s">
        <v>46</v>
      </c>
    </row>
    <row r="2" spans="1:21" x14ac:dyDescent="0.3">
      <c r="A2" s="4" t="s">
        <v>42</v>
      </c>
      <c r="B2" t="s">
        <v>18</v>
      </c>
      <c r="C2" t="s">
        <v>15</v>
      </c>
      <c r="D2" t="s">
        <v>43</v>
      </c>
    </row>
    <row r="3" spans="1:21" x14ac:dyDescent="0.3">
      <c r="A3" s="5" t="s">
        <v>38</v>
      </c>
      <c r="B3" s="6">
        <v>53440</v>
      </c>
      <c r="C3" s="6">
        <v>55774.058577405856</v>
      </c>
      <c r="D3" s="6">
        <v>54580.777096114522</v>
      </c>
      <c r="U3">
        <f ca="1">T3:U31</f>
        <v>0</v>
      </c>
    </row>
    <row r="4" spans="1:21" x14ac:dyDescent="0.3">
      <c r="A4" s="5" t="s">
        <v>39</v>
      </c>
      <c r="B4" s="6">
        <v>56208.178438661707</v>
      </c>
      <c r="C4" s="6">
        <v>60123.966942148763</v>
      </c>
      <c r="D4" s="6">
        <v>58062.62230919765</v>
      </c>
    </row>
    <row r="5" spans="1:21" x14ac:dyDescent="0.3">
      <c r="A5" s="5" t="s">
        <v>43</v>
      </c>
      <c r="B5" s="6">
        <v>54874.759152215796</v>
      </c>
      <c r="C5" s="6">
        <v>57962.577962577961</v>
      </c>
      <c r="D5" s="6">
        <v>56360</v>
      </c>
    </row>
    <row r="18" spans="1:4" x14ac:dyDescent="0.3">
      <c r="A18" s="4" t="s">
        <v>45</v>
      </c>
      <c r="B18" s="4" t="s">
        <v>46</v>
      </c>
    </row>
    <row r="19" spans="1:4" x14ac:dyDescent="0.3">
      <c r="A19" s="4" t="s">
        <v>42</v>
      </c>
      <c r="B19" t="s">
        <v>18</v>
      </c>
      <c r="C19" t="s">
        <v>15</v>
      </c>
      <c r="D19" t="s">
        <v>43</v>
      </c>
    </row>
    <row r="20" spans="1:4" x14ac:dyDescent="0.3">
      <c r="A20" s="5" t="s">
        <v>16</v>
      </c>
      <c r="B20" s="3">
        <v>166</v>
      </c>
      <c r="C20" s="3">
        <v>200</v>
      </c>
      <c r="D20" s="3">
        <v>366</v>
      </c>
    </row>
    <row r="21" spans="1:4" x14ac:dyDescent="0.3">
      <c r="A21" s="5" t="s">
        <v>26</v>
      </c>
      <c r="B21" s="3">
        <v>92</v>
      </c>
      <c r="C21" s="3">
        <v>77</v>
      </c>
      <c r="D21" s="3">
        <v>169</v>
      </c>
    </row>
    <row r="22" spans="1:4" x14ac:dyDescent="0.3">
      <c r="A22" s="5" t="s">
        <v>22</v>
      </c>
      <c r="B22" s="3">
        <v>67</v>
      </c>
      <c r="C22" s="3">
        <v>95</v>
      </c>
      <c r="D22" s="3">
        <v>162</v>
      </c>
    </row>
    <row r="23" spans="1:4" x14ac:dyDescent="0.3">
      <c r="A23" s="5" t="s">
        <v>23</v>
      </c>
      <c r="B23" s="3">
        <v>116</v>
      </c>
      <c r="C23" s="3">
        <v>76</v>
      </c>
      <c r="D23" s="3">
        <v>192</v>
      </c>
    </row>
    <row r="24" spans="1:4" x14ac:dyDescent="0.3">
      <c r="A24" s="5" t="s">
        <v>47</v>
      </c>
      <c r="B24" s="3">
        <v>78</v>
      </c>
      <c r="C24" s="3">
        <v>33</v>
      </c>
      <c r="D24" s="3">
        <v>111</v>
      </c>
    </row>
    <row r="25" spans="1:4" x14ac:dyDescent="0.3">
      <c r="A25" s="5" t="s">
        <v>43</v>
      </c>
      <c r="B25" s="3">
        <v>519</v>
      </c>
      <c r="C25" s="3">
        <v>481</v>
      </c>
      <c r="D25" s="3">
        <v>1000</v>
      </c>
    </row>
    <row r="36" spans="1:4" x14ac:dyDescent="0.3">
      <c r="A36" s="4" t="s">
        <v>45</v>
      </c>
      <c r="B36" s="4" t="s">
        <v>46</v>
      </c>
    </row>
    <row r="37" spans="1:4" x14ac:dyDescent="0.3">
      <c r="A37" s="4" t="s">
        <v>42</v>
      </c>
      <c r="B37" t="s">
        <v>18</v>
      </c>
      <c r="C37" t="s">
        <v>15</v>
      </c>
      <c r="D37" t="s">
        <v>43</v>
      </c>
    </row>
    <row r="38" spans="1:4" x14ac:dyDescent="0.3">
      <c r="A38" s="5" t="s">
        <v>48</v>
      </c>
      <c r="B38" s="3">
        <v>71</v>
      </c>
      <c r="C38" s="3">
        <v>39</v>
      </c>
      <c r="D38" s="3">
        <v>110</v>
      </c>
    </row>
    <row r="39" spans="1:4" x14ac:dyDescent="0.3">
      <c r="A39" s="5" t="s">
        <v>49</v>
      </c>
      <c r="B39" s="3">
        <v>318</v>
      </c>
      <c r="C39" s="3">
        <v>383</v>
      </c>
      <c r="D39" s="3">
        <v>701</v>
      </c>
    </row>
    <row r="40" spans="1:4" x14ac:dyDescent="0.3">
      <c r="A40" s="5" t="s">
        <v>51</v>
      </c>
      <c r="B40" s="3">
        <v>130</v>
      </c>
      <c r="C40" s="3">
        <v>59</v>
      </c>
      <c r="D40" s="3">
        <v>189</v>
      </c>
    </row>
    <row r="41" spans="1:4" x14ac:dyDescent="0.3">
      <c r="A41" s="5" t="s">
        <v>43</v>
      </c>
      <c r="B41" s="3">
        <v>519</v>
      </c>
      <c r="C41" s="3">
        <v>481</v>
      </c>
      <c r="D41" s="3">
        <v>1000</v>
      </c>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
  <sheetViews>
    <sheetView topLeftCell="A6" workbookViewId="0">
      <selection activeCell="E29" sqref="E29:E32"/>
    </sheetView>
  </sheetViews>
  <sheetFormatPr defaultRowHeight="14.4" x14ac:dyDescent="0.3"/>
  <cols>
    <col min="1" max="16384" width="8.88671875" style="7"/>
  </cols>
  <sheetData>
    <row r="1" spans="1:19" x14ac:dyDescent="0.3">
      <c r="A1" s="8" t="s">
        <v>50</v>
      </c>
      <c r="B1" s="9"/>
      <c r="C1" s="9"/>
      <c r="D1" s="9"/>
      <c r="E1" s="9"/>
      <c r="F1" s="9"/>
      <c r="G1" s="9"/>
      <c r="H1" s="9"/>
      <c r="I1" s="9"/>
      <c r="J1" s="9"/>
      <c r="K1" s="9"/>
      <c r="L1" s="9"/>
      <c r="M1" s="9"/>
      <c r="N1" s="9"/>
      <c r="O1" s="9"/>
      <c r="P1" s="9"/>
      <c r="Q1" s="9"/>
      <c r="R1" s="9"/>
      <c r="S1" s="9"/>
    </row>
    <row r="2" spans="1:19" x14ac:dyDescent="0.3">
      <c r="A2" s="9"/>
      <c r="B2" s="9"/>
      <c r="C2" s="9"/>
      <c r="D2" s="9"/>
      <c r="E2" s="9"/>
      <c r="F2" s="9"/>
      <c r="G2" s="9"/>
      <c r="H2" s="9"/>
      <c r="I2" s="9"/>
      <c r="J2" s="9"/>
      <c r="K2" s="9"/>
      <c r="L2" s="9"/>
      <c r="M2" s="9"/>
      <c r="N2" s="9"/>
      <c r="O2" s="9"/>
      <c r="P2" s="9"/>
      <c r="Q2" s="9"/>
      <c r="R2" s="9"/>
      <c r="S2" s="9"/>
    </row>
    <row r="3" spans="1:19" x14ac:dyDescent="0.3">
      <c r="A3" s="9"/>
      <c r="B3" s="9"/>
      <c r="C3" s="9"/>
      <c r="D3" s="9"/>
      <c r="E3" s="9"/>
      <c r="F3" s="9"/>
      <c r="G3" s="9"/>
      <c r="H3" s="9"/>
      <c r="I3" s="9"/>
      <c r="J3" s="9"/>
      <c r="K3" s="9"/>
      <c r="L3" s="9"/>
      <c r="M3" s="9"/>
      <c r="N3" s="9"/>
      <c r="O3" s="9"/>
      <c r="P3" s="9"/>
      <c r="Q3" s="9"/>
      <c r="R3" s="9"/>
      <c r="S3" s="9"/>
    </row>
  </sheetData>
  <mergeCells count="1">
    <mergeCell ref="A1:S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Pivote table </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2022-03-18T02:50:57Z</dcterms:created>
  <dcterms:modified xsi:type="dcterms:W3CDTF">2026-02-07T06:24:22Z</dcterms:modified>
</cp:coreProperties>
</file>